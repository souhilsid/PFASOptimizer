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bdf7f63e2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ded3e3d7da834b24"/>
    <x:sheet xmlns:r="http://schemas.openxmlformats.org/officeDocument/2006/relationships" name="Architecture" sheetId="2" r:id="R2dd3d2c7ef4d4634"/>
    <x:sheet xmlns:r="http://schemas.openxmlformats.org/officeDocument/2006/relationships" name="Global_Params" sheetId="3" r:id="R8cb5a12cad54476b"/>
    <x:sheet xmlns:r="http://schemas.openxmlformats.org/officeDocument/2006/relationships" name="Dependent_Params_P04" sheetId="4" r:id="R66b034a406084577"/>
    <x:sheet xmlns:r="http://schemas.openxmlformats.org/officeDocument/2006/relationships" name="Flows" sheetId="5" r:id="R6deeb6812d2c451f"/>
    <x:sheet xmlns:r="http://schemas.openxmlformats.org/officeDocument/2006/relationships" name="Process_Overview" sheetId="6" r:id="Rf3b620d7f5cc405c"/>
    <x:sheet xmlns:r="http://schemas.openxmlformats.org/officeDocument/2006/relationships" name="P01_P02_P03" sheetId="7" r:id="R3062d7b9793e40f0"/>
    <x:sheet xmlns:r="http://schemas.openxmlformats.org/officeDocument/2006/relationships" name="P04_Main_Process" sheetId="8" r:id="R9cd430ec4e9740c0"/>
    <x:sheet xmlns:r="http://schemas.openxmlformats.org/officeDocument/2006/relationships" name="P05_P06_P07" sheetId="9" r:id="R37548823c2b74891"/>
    <x:sheet xmlns:r="http://schemas.openxmlformats.org/officeDocument/2006/relationships" name="Product_Systems" sheetId="10" r:id="R7fe03688f10a4fb8"/>
    <x:sheet xmlns:r="http://schemas.openxmlformats.org/officeDocument/2006/relationships" name="Cost_Link_Map" sheetId="11" r:id="Rf30c8eb7af004ce9"/>
    <x:sheet xmlns:r="http://schemas.openxmlformats.org/officeDocument/2006/relationships" name="LCC_Calculator" sheetId="12" r:id="R42e3fb6d7b464fed"/>
    <x:sheet xmlns:r="http://schemas.openxmlformats.org/officeDocument/2006/relationships" name="EBI_ReCiPe" sheetId="13" r:id="Rdfe900950a9742e3"/>
    <x:sheet xmlns:r="http://schemas.openxmlformats.org/officeDocument/2006/relationships" name="Bridge_Builder_IO" sheetId="14" r:id="Rb525c471c7304880"/>
    <x:sheet xmlns:r="http://schemas.openxmlformats.org/officeDocument/2006/relationships" name="Implementation_Checklist" sheetId="15" r:id="R3ade6b8708524f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75985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b/>
      <x:sz val="11"/>
      <x:color rgb="FF134E4A"/>
      <x:name val="Carlito"/>
    </x:font>
    <x:font>
      <x:b/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B4A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CCFBF1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b73b203a947b0" /><Relationship Type="http://schemas.openxmlformats.org/officeDocument/2006/relationships/theme" Target="/xl/theme/theme1.xml" Id="R72ae3670bb314761" /><Relationship Type="http://schemas.openxmlformats.org/officeDocument/2006/relationships/sharedStrings" Target="/xl/sharedStrings.xml" Id="Rc16bd0fd58454df9" /><Relationship Type="http://schemas.openxmlformats.org/officeDocument/2006/relationships/worksheet" Target="/xl/worksheets/sheet1.xml" Id="Rded3e3d7da834b24" /><Relationship Type="http://schemas.openxmlformats.org/officeDocument/2006/relationships/worksheet" Target="/xl/worksheets/sheet2.xml" Id="R2dd3d2c7ef4d4634" /><Relationship Type="http://schemas.openxmlformats.org/officeDocument/2006/relationships/worksheet" Target="/xl/worksheets/sheet3.xml" Id="R8cb5a12cad54476b" /><Relationship Type="http://schemas.openxmlformats.org/officeDocument/2006/relationships/worksheet" Target="/xl/worksheets/sheet4.xml" Id="R66b034a406084577" /><Relationship Type="http://schemas.openxmlformats.org/officeDocument/2006/relationships/worksheet" Target="/xl/worksheets/sheet5.xml" Id="R6deeb6812d2c451f" /><Relationship Type="http://schemas.openxmlformats.org/officeDocument/2006/relationships/worksheet" Target="/xl/worksheets/sheet6.xml" Id="Rf3b620d7f5cc405c" /><Relationship Type="http://schemas.openxmlformats.org/officeDocument/2006/relationships/worksheet" Target="/xl/worksheets/sheet7.xml" Id="R3062d7b9793e40f0" /><Relationship Type="http://schemas.openxmlformats.org/officeDocument/2006/relationships/worksheet" Target="/xl/worksheets/sheet8.xml" Id="R9cd430ec4e9740c0" /><Relationship Type="http://schemas.openxmlformats.org/officeDocument/2006/relationships/worksheet" Target="/xl/worksheets/sheet9.xml" Id="R37548823c2b74891" /><Relationship Type="http://schemas.openxmlformats.org/officeDocument/2006/relationships/worksheet" Target="/xl/worksheets/sheet10.xml" Id="R7fe03688f10a4fb8" /><Relationship Type="http://schemas.openxmlformats.org/officeDocument/2006/relationships/worksheet" Target="/xl/worksheets/sheet11.xml" Id="Rf30c8eb7af004ce9" /><Relationship Type="http://schemas.openxmlformats.org/officeDocument/2006/relationships/worksheet" Target="/xl/worksheets/sheet12.xml" Id="R42e3fb6d7b464fed" /><Relationship Type="http://schemas.openxmlformats.org/officeDocument/2006/relationships/worksheet" Target="/xl/worksheets/sheet13.xml" Id="Rdfe900950a9742e3" /><Relationship Type="http://schemas.openxmlformats.org/officeDocument/2006/relationships/worksheet" Target="/xl/worksheets/sheet14.xml" Id="Rb525c471c7304880" /><Relationship Type="http://schemas.openxmlformats.org/officeDocument/2006/relationships/worksheet" Target="/xl/worksheets/sheet15.xml" Id="R3ade6b8708524f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60" hidden="0" customWidth="1"/>
  </x:cols>
  <x:sheetData>
    <x:row r="1" ht="28" customHeight="1">
      <x:c r="A1" s="50" t="str">
        <x:v>Biochar PFAS Removal - openLCA LCA/LCC Complete Guide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Foreground LCI + LCC architecture for inverse design / Pareto optimization platform linked to PKL removal model and openLCA ReCiPe Midpoint (H).</x:v>
      </x:c>
    </x:row>
    <x:row r="4">
      <x:c r="A4" s="24" t="str">
        <x:v>Topic</x:v>
      </x:c>
      <x:c r="B4" s="24" t="str">
        <x:v>Decision</x:v>
      </x:c>
      <x:c r="C4" s="24" t="str">
        <x:v>Why / How</x:v>
      </x:c>
    </x:row>
    <x:row r="5">
      <x:c r="A5" s="28" t="str">
        <x:v>Functional unit</x:v>
      </x:c>
      <x:c r="B5" s="28" t="str">
        <x:v>1 m3 of PFAS-contaminated water treated by biochar adsorption</x:v>
      </x:c>
      <x:c r="C5" s="28" t="str">
        <x:v>Create product system from P04 with reference flow Treated water</x:v>
      </x:c>
    </x:row>
    <x:row r="6">
      <x:c r="A6" s="28" t="str">
        <x:v>Optimization objectives</x:v>
      </x:c>
      <x:c r="B6" s="28" t="str">
        <x:v>Maximize RE_pred; minimize EBI; minimize LCC_total_USD_m3</x:v>
      </x:c>
      <x:c r="C6" s="28" t="str">
        <x:v>Use objectives [-RE_pred, EBI, LCC] for minimization algorithms</x:v>
      </x:c>
    </x:row>
    <x:row r="7">
      <x:c r="A7" s="28" t="str">
        <x:v>LCA database</x:v>
      </x:c>
      <x:c r="B7" s="28" t="str">
        <x:v>ELCD background/proxies where available</x:v>
      </x:c>
      <x:c r="C7" s="28" t="str">
        <x:v>P07 is proxy process for CaCl2</x:v>
      </x:c>
    </x:row>
    <x:row r="8">
      <x:c r="A8" s="28" t="str">
        <x:v>LCIA method</x:v>
      </x:c>
      <x:c r="B8" s="28" t="str">
        <x:v>ReCiPe Midpoint (H)</x:v>
      </x:c>
      <x:c r="C8" s="28" t="str">
        <x:v>Normalize impacts in Python or Excel using the same ReCiPe factors you select</x:v>
      </x:c>
    </x:row>
    <x:row r="9">
      <x:c r="A9" s="28" t="str">
        <x:v>Cost method</x:v>
      </x:c>
      <x:c r="B9" s="28" t="str">
        <x:v>Recommended: external LCC in Python/Excel using the same global parameters</x:v>
      </x:c>
      <x:c r="C9" s="28" t="str">
        <x:v>Optional native openLCA costs can be used for base-case checking</x:v>
      </x:c>
    </x:row>
    <x:row r="10">
      <x:c r="A10" s="28" t="str">
        <x:v>Product system</x:v>
      </x:c>
      <x:c r="B10" s="28" t="str">
        <x:v>Create from P04 - PFAS adsorption treatment with biochar</x:v>
      </x:c>
      <x:c r="C10" s="28" t="str">
        <x:v>P01-P03 upstream, P05/P06 downstream, P07 upstream chemical supplier</x:v>
      </x:c>
    </x:row>
    <x:row r="11">
      <x:c r="A11" s="28" t="str">
        <x:v>Critical warning</x:v>
      </x:c>
      <x:c r="B11" s="28" t="str">
        <x:v>Do not put cost on intermediate foreground flows like Usable biochar in P04</x:v>
      </x:c>
      <x:c r="C11" s="28" t="str">
        <x:v>Otherwise you double count P01+P02+P03 production costs</x:v>
      </x:c>
    </x:row>
    <x:row r="12" ht="36" customHeight="1">
      <x:c r="A12" s="34" t="str">
        <x:v>Recommended workflow: 1) Build global parameters -&gt; 2) Create custom flows -&gt; 3) Create P01-P07 -&gt; 4) Link providers -&gt; 5) Product system from P04 -&gt; 6) Calculate ReCiPe -&gt; 7) Compute EBI + LCC -&gt; 8) Send objectives to Pareto optimizer</x:v>
      </x:c>
      <x:c r="B12" t="str">
        <x:v>Recommended workflow: 1) Build global parameters -&gt; 2) Create custom flows -&gt; 3) Create P01-P07 -&gt; 4) Link providers -&gt; 5) Product system from P04 -&gt; 6) Calculate ReCiPe -&gt; 7) Compute EBI + LCC -&gt; 8) Send objectives to Pareto optimizer</x:v>
      </x:c>
      <x:c r="C12" t="str">
        <x:v>Recommended workflow: 1) Build global parameters -&gt; 2) Create custom flows -&gt; 3) Create P01-P07 -&gt; 4) Link providers -&gt; 5) Product system from P04 -&gt; 6) Calculate ReCiPe -&gt; 7) Compute EBI + LCC -&gt; 8) Send objectives to Pareto optimizer</x:v>
      </x:c>
      <x:c r="D12" t="str">
        <x:v>Recommended workflow: 1) Build global parameters -&gt; 2) Create custom flows -&gt; 3) Create P01-P07 -&gt; 4) Link providers -&gt; 5) Product system from P04 -&gt; 6) Calculate ReCiPe -&gt; 7) Compute EBI + LCC -&gt; 8) Send objectives to Pareto optimizer</x:v>
      </x:c>
      <x:c r="E12" t="str">
        <x:v>Recommended workflow: 1) Build global parameters -&gt; 2) Create custom flows -&gt; 3) Create P01-P07 -&gt; 4) Link providers -&gt; 5) Product system from P04 -&gt; 6) Calculate ReCiPe -&gt; 7) Compute EBI + LCC -&gt; 8) Send objectives to Pareto optimizer</x:v>
      </x:c>
      <x:c r="F12" t="str">
        <x:v>Recommended workflow: 1) Build global parameters -&gt; 2) Create custom flows -&gt; 3) Create P01-P07 -&gt; 4) Link providers -&gt; 5) Product system from P04 -&gt; 6) Calculate ReCiPe -&gt; 7) Compute EBI + LCC -&gt; 8) Send objectives to Pareto optimizer</x:v>
      </x:c>
      <x:c r="G12" t="str">
        <x:v>Recommended workflow: 1) Build global parameters -&gt; 2) Create custom flows -&gt; 3) Create P01-P07 -&gt; 4) Link providers -&gt; 5) Product system from P04 -&gt; 6) Calculate ReCiPe -&gt; 7) Compute EBI + LCC -&gt; 8) Send objectives to Pareto optimizer</x:v>
      </x:c>
      <x:c r="H12" t="str">
        <x:v>Recommended workflow: 1) Build global parameters -&gt; 2) Create custom flows -&gt; 3) Create P01-P07 -&gt; 4) Link providers -&gt; 5) Product system from P04 -&gt; 6) Calculate ReCiPe -&gt; 7) Compute EBI + LCC -&gt; 8) Send objectives to Pareto optimizer</x:v>
      </x:c>
      <x:c r="I12" t="str">
        <x:v>Recommended workflow: 1) Build global parameters -&gt; 2) Create custom flows -&gt; 3) Create P01-P07 -&gt; 4) Link providers -&gt; 5) Product system from P04 -&gt; 6) Calculate ReCiPe -&gt; 7) Compute EBI + LCC -&gt; 8) Send objectives to Pareto optimizer</x:v>
      </x:c>
    </x:row>
  </x:sheetData>
  <x:mergeCells>
    <x:mergeCell ref="A1:I1"/>
    <x:mergeCell ref="A2:I2"/>
    <x:mergeCell ref="A12:I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80" hidden="0" customWidth="1"/>
    <x:col min="4" max="4" width="22" hidden="0" customWidth="1"/>
  </x:cols>
  <x:sheetData>
    <x:row r="1" ht="28" customHeight="1">
      <x:c r="A1" s="50" t="str">
        <x:v>System Architecture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How your platform, PKL model, openLCA, EBI, LCC, and Pareto optimizer connect.</x:v>
      </x:c>
    </x:row>
    <x:row r="4">
      <x:c r="A4" s="24" t="str">
        <x:v>Step</x:v>
      </x:c>
      <x:c r="B4" s="24" t="str">
        <x:v>Block</x:v>
      </x:c>
      <x:c r="C4" s="24" t="str">
        <x:v>Description</x:v>
      </x:c>
      <x:c r="D4" s="24" t="str">
        <x:v>Owner</x:v>
      </x:c>
    </x:row>
    <x:row r="5">
      <x:c r="A5" s="28" t="str">
        <x:v>1</x:v>
      </x:c>
      <x:c r="B5" s="28" t="str">
        <x:v>Candidate generation</x:v>
      </x:c>
      <x:c r="C5" s="28" t="str">
        <x:v>Inverse design / optimizer proposes PFAS, biochar descriptors, adsorption conditions, and LCA-only variables.</x:v>
      </x:c>
      <x:c r="D5" s="28" t="str">
        <x:v>Platform</x:v>
      </x:c>
    </x:row>
    <x:row r="6">
      <x:c r="A6" s="28" t="str">
        <x:v>2</x:v>
      </x:c>
      <x:c r="B6" s="28" t="str">
        <x:v>Removal prediction</x:v>
      </x:c>
      <x:c r="C6" s="28" t="str">
        <x:v>PKL model predicts removal efficiency RE_pred from platform inputs.</x:v>
      </x:c>
      <x:c r="D6" s="28" t="str">
        <x:v>Python/PKL</x:v>
      </x:c>
    </x:row>
    <x:row r="7">
      <x:c r="A7" s="28" t="str">
        <x:v>3</x:v>
      </x:c>
      <x:c r="B7" s="28" t="str">
        <x:v>Parameter update</x:v>
      </x:c>
      <x:c r="C7" s="28" t="str">
        <x:v>Bridge builder sends global parameters to openLCA.</x:v>
      </x:c>
      <x:c r="D7" s="28" t="str">
        <x:v>Python + openLCA IPC</x:v>
      </x:c>
    </x:row>
    <x:row r="8">
      <x:c r="A8" s="28" t="str">
        <x:v>4</x:v>
      </x:c>
      <x:c r="B8" s="28" t="str">
        <x:v>LCI scaling</x:v>
      </x:c>
      <x:c r="C8" s="28" t="str">
        <x:v>P04 dependent parameters calculate biochar mass, PFAS mass balance, chemical doses, electricity, and spent biochar.</x:v>
      </x:c>
      <x:c r="D8" s="28" t="str">
        <x:v>openLCA parameters</x:v>
      </x:c>
    </x:row>
    <x:row r="9">
      <x:c r="A9" s="28" t="str">
        <x:v>5</x:v>
      </x:c>
      <x:c r="B9" s="28" t="str">
        <x:v>Provider linking</x:v>
      </x:c>
      <x:c r="C9" s="28" t="str">
        <x:v>P04 links to P03 for usable biochar, P05/P06 for spent biochar treatment, P07 for CaCl2 proxy, and ELCD for utilities.</x:v>
      </x:c>
      <x:c r="D9" s="28" t="str">
        <x:v>openLCA product system</x:v>
      </x:c>
    </x:row>
    <x:row r="10">
      <x:c r="A10" s="28" t="str">
        <x:v>6</x:v>
      </x:c>
      <x:c r="B10" s="28" t="str">
        <x:v>LCIA</x:v>
      </x:c>
      <x:c r="C10" s="28" t="str">
        <x:v>openLCA calculates ReCiPe Midpoint (H) impacts.</x:v>
      </x:c>
      <x:c r="D10" s="28" t="str">
        <x:v>openLCA</x:v>
      </x:c>
    </x:row>
    <x:row r="11">
      <x:c r="A11" s="28" t="str">
        <x:v>7</x:v>
      </x:c>
      <x:c r="B11" s="28" t="str">
        <x:v>EBI</x:v>
      </x:c>
      <x:c r="C11" s="28" t="str">
        <x:v>Python normalizes selected midpoint impacts and sums/weights them into environmental burden index.</x:v>
      </x:c>
      <x:c r="D11" s="28" t="str">
        <x:v>Python</x:v>
      </x:c>
    </x:row>
    <x:row r="12">
      <x:c r="A12" s="28" t="str">
        <x:v>8</x:v>
      </x:c>
      <x:c r="B12" s="28" t="str">
        <x:v>LCC</x:v>
      </x:c>
      <x:c r="C12" s="28" t="str">
        <x:v>Python/Excel calculates cost using the same exchange quantities and unit prices.</x:v>
      </x:c>
      <x:c r="D12" s="28" t="str">
        <x:v>Python/Excel</x:v>
      </x:c>
    </x:row>
    <x:row r="13">
      <x:c r="A13" s="28" t="str">
        <x:v>9</x:v>
      </x:c>
      <x:c r="B13" s="28" t="str">
        <x:v>Pareto update</x:v>
      </x:c>
      <x:c r="C13" s="28" t="str">
        <x:v>Optimizer receives [-RE_pred, EBI, LCC_total_USD_m3].</x:v>
      </x:c>
      <x:c r="D13" s="28" t="str">
        <x:v>Optimizer</x:v>
      </x:c>
    </x:row>
    <x:row r="16">
      <x:c r="A16" s="38" t="str">
        <x:v>OpenLCA foreground graph</x:v>
      </x:c>
    </x:row>
    <x:row r="17">
      <x:c r="A17" s="26" t="str">
        <x:v>P01 Biomass preparation -&gt; P02 Biochar pyrolysis -&gt; P03 Washing/modification -&gt; P04 Adsorption treatment -&gt; P05 Incineration</x:v>
      </x:c>
      <x:c r="B17" s="26"/>
      <x:c r="C17" s="26"/>
      <x:c r="D17" s="26"/>
      <x:c r="E17" s="26"/>
      <x:c r="F17" s="26"/>
      <x:c r="G17" s="26"/>
      <x:c r="H17" s="26"/>
    </x:row>
    <x:row r="18">
      <x:c r="A18" s="26" t="str">
        <x:v>Alternative: P04 -&gt; P06 Landfill sensitivity instead of P05</x:v>
      </x:c>
      <x:c r="B18" s="26"/>
      <x:c r="C18" s="26"/>
      <x:c r="D18" s="26"/>
      <x:c r="E18" s="26"/>
      <x:c r="F18" s="26"/>
      <x:c r="G18" s="26"/>
      <x:c r="H18" s="26"/>
    </x:row>
    <x:row r="19">
      <x:c r="A19" s="26" t="str">
        <x:v>P07 Calcium chloride proxy -&gt; P04 as upstream chemical supplier</x:v>
      </x:c>
      <x:c r="B19" s="26"/>
      <x:c r="C19" s="26"/>
      <x:c r="D19" s="26"/>
      <x:c r="E19" s="26"/>
      <x:c r="F19" s="26"/>
      <x:c r="G19" s="26"/>
      <x:c r="H19" s="26"/>
    </x:row>
    <x:row r="20">
      <x:c r="A20" s="26" t="str">
        <x:v>ELCD electricity/heat/water/transport/waste services feed multiple foreground processes</x:v>
      </x:c>
      <x:c r="B20" s="26"/>
      <x:c r="C20" s="26"/>
      <x:c r="D20" s="26"/>
      <x:c r="E20" s="26"/>
      <x:c r="F20" s="26"/>
      <x:c r="G20" s="26"/>
      <x:c r="H20" s="26"/>
    </x:row>
    <x:row r="21">
      <x:c r="A21" s="26" t="str">
        <x:v>Create product system from P04, not P01/P02/P03.</x:v>
      </x:c>
      <x:c r="B21" s="26"/>
      <x:c r="C21" s="26"/>
      <x:c r="D21" s="26"/>
      <x:c r="E21" s="26"/>
      <x:c r="F21" s="26"/>
      <x:c r="G21" s="26"/>
      <x:c r="H21" s="26"/>
    </x:row>
  </x:sheetData>
  <x:mergeCells>
    <x:mergeCell ref="A1:H1"/>
    <x:mergeCell ref="A2:H2"/>
    <x:mergeCell ref="A16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4" hidden="0" customWidth="1"/>
    <x:col min="5" max="5" width="35" hidden="0" customWidth="1"/>
    <x:col min="6" max="6" width="55" hidden="0" customWidth="1"/>
    <x:col min="8" max="8" width="31" hidden="0" customWidth="1"/>
    <x:col min="9" max="9" width="15" hidden="0" customWidth="1"/>
    <x:col min="10" max="10" width="15" hidden="0" customWidth="1"/>
    <x:col min="11" max="11" width="15" hidden="0" customWidth="1"/>
    <x:col min="12" max="12" width="35" hidden="0" customWidth="1"/>
    <x:col min="13" max="13" width="35" hidden="0" customWidth="1"/>
  </x:cols>
  <x:sheetData>
    <x:row r="1" ht="28" customHeight="1">
      <x:c r="A1" s="50" t="str">
        <x:v>Global Input Parameters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Create these as global parameters or send them through the Python bridge. Cost parameters are added to calculate LCC.</x:v>
      </x:c>
    </x:row>
    <x:row r="4">
      <x:c r="A4" s="24" t="str">
        <x:v>Parameter</x:v>
      </x:c>
      <x:c r="B4" s="24" t="str">
        <x:v>Baseline value</x:v>
      </x:c>
      <x:c r="C4" s="24" t="str">
        <x:v>Unit</x:v>
      </x:c>
      <x:c r="D4" s="24" t="str">
        <x:v>Role</x:v>
      </x:c>
      <x:c r="E4" s="24" t="str">
        <x:v>Meaning</x:v>
      </x:c>
      <x:c r="F4" s="24" t="str">
        <x:v>How used</x:v>
      </x:c>
      <x:c r="H4" s="24" t="str">
        <x:v>Cost parameter</x:v>
      </x:c>
      <x:c r="I4" s="24" t="str">
        <x:v>Example value</x:v>
      </x:c>
      <x:c r="J4" s="24" t="str">
        <x:v>Unit</x:v>
      </x:c>
      <x:c r="K4" s="24" t="str">
        <x:v>Role</x:v>
      </x:c>
      <x:c r="L4" s="24" t="str">
        <x:v>Meaning</x:v>
      </x:c>
      <x:c r="M4" s="24" t="str">
        <x:v>Where used</x:v>
      </x:c>
    </x:row>
    <x:row r="5">
      <x:c r="A5" s="28" t="str">
        <x:v>V_water_m3</x:v>
      </x:c>
      <x:c r="B5" s="28" t="str">
        <x:v>1</x:v>
      </x:c>
      <x:c r="C5" s="28" t="str">
        <x:v>m3</x:v>
      </x:c>
      <x:c r="D5" s="28" t="str">
        <x:v>Platform/LCA</x:v>
      </x:c>
      <x:c r="E5" s="28" t="str">
        <x:v>Functional unit volume</x:v>
      </x:c>
      <x:c r="F5" s="28" t="str">
        <x:v>Used in P04 treated water and electricity scaling</x:v>
      </x:c>
      <x:c r="H5" s="28" t="str">
        <x:v>price_wet_biomass_USD_kg</x:v>
      </x:c>
      <x:c r="I5" s="28" t="str">
        <x:v>0.05</x:v>
      </x:c>
      <x:c r="J5" s="28" t="str">
        <x:v>USD/kg</x:v>
      </x:c>
      <x:c r="K5" s="28" t="str">
        <x:v>Cost</x:v>
      </x:c>
      <x:c r="L5" s="28" t="str">
        <x:v>Wet biomass price</x:v>
      </x:c>
      <x:c r="M5" s="28" t="str">
        <x:v>P01</x:v>
      </x:c>
    </x:row>
    <x:row r="6">
      <x:c r="A6" s="28" t="str">
        <x:v>V_water_L</x:v>
      </x:c>
      <x:c r="B6" s="28" t="str">
        <x:v>1000</x:v>
      </x:c>
      <x:c r="C6" s="28" t="str">
        <x:v>L</x:v>
      </x:c>
      <x:c r="D6" s="28" t="str">
        <x:v>Platform/LCA</x:v>
      </x:c>
      <x:c r="E6" s="28" t="str">
        <x:v>Water volume in liters</x:v>
      </x:c>
      <x:c r="F6" s="28" t="str">
        <x:v>Used for dose and concentration conversions</x:v>
      </x:c>
      <x:c r="H6" s="28" t="str">
        <x:v>price_electricity_USD_kWh</x:v>
      </x:c>
      <x:c r="I6" s="28" t="str">
        <x:v>0.12</x:v>
      </x:c>
      <x:c r="J6" s="28" t="str">
        <x:v>USD/kWh</x:v>
      </x:c>
      <x:c r="K6" s="28" t="str">
        <x:v>Cost</x:v>
      </x:c>
      <x:c r="L6" s="28" t="str">
        <x:v>Electricity tariff</x:v>
      </x:c>
      <x:c r="M6" s="28" t="str">
        <x:v>P01-P04/P07</x:v>
      </x:c>
    </x:row>
    <x:row r="7">
      <x:c r="A7" s="28" t="str">
        <x:v>PFAS_name</x:v>
      </x:c>
      <x:c r="B7" s="28" t="str">
        <x:v>PFOA</x:v>
      </x:c>
      <x:c r="C7" s="28" t="str">
        <x:v>-</x:v>
      </x:c>
      <x:c r="D7" s="28" t="str">
        <x:v>Platform/PKL</x:v>
      </x:c>
      <x:c r="E7" s="28" t="str">
        <x:v>PFAS selection</x:v>
      </x:c>
      <x:c r="F7" s="28" t="str">
        <x:v>Used by PKL and reporting, not usually LCIA CF</x:v>
      </x:c>
      <x:c r="H7" s="28" t="str">
        <x:v>price_heat_USD_MJ</x:v>
      </x:c>
      <x:c r="I7" s="28" t="str">
        <x:v>0.015</x:v>
      </x:c>
      <x:c r="J7" s="28" t="str">
        <x:v>USD/MJ</x:v>
      </x:c>
      <x:c r="K7" s="28" t="str">
        <x:v>Cost</x:v>
      </x:c>
      <x:c r="L7" s="28" t="str">
        <x:v>Heat/natural gas cost</x:v>
      </x:c>
      <x:c r="M7" s="28" t="str">
        <x:v>P01-P03</x:v>
      </x:c>
    </x:row>
    <x:row r="8">
      <x:c r="A8" s="28" t="str">
        <x:v>T_pyro_C</x:v>
      </x:c>
      <x:c r="B8" s="28" t="str">
        <x:v>600</x:v>
      </x:c>
      <x:c r="C8" s="28" t="str">
        <x:v>deg C</x:v>
      </x:c>
      <x:c r="D8" s="28" t="str">
        <x:v>Platform/PKL/LCA driver</x:v>
      </x:c>
      <x:c r="E8" s="28" t="str">
        <x:v>Pyrolysis temperature</x:v>
      </x:c>
      <x:c r="F8" s="28" t="str">
        <x:v>May drive pyrolysis heat/electricity in Python</x:v>
      </x:c>
      <x:c r="H8" s="28" t="str">
        <x:v>price_transport_USD_tkm</x:v>
      </x:c>
      <x:c r="I8" s="28" t="str">
        <x:v>0.10</x:v>
      </x:c>
      <x:c r="J8" s="28" t="str">
        <x:v>USD/tkm</x:v>
      </x:c>
      <x:c r="K8" s="28" t="str">
        <x:v>Cost</x:v>
      </x:c>
      <x:c r="L8" s="28" t="str">
        <x:v>Road transport cost</x:v>
      </x:c>
      <x:c r="M8" s="28" t="str">
        <x:v>P01</x:v>
      </x:c>
    </x:row>
    <x:row r="9">
      <x:c r="A9" s="28" t="str">
        <x:v>t_pyro_min</x:v>
      </x:c>
      <x:c r="B9" s="28" t="str">
        <x:v>90</x:v>
      </x:c>
      <x:c r="C9" s="28" t="str">
        <x:v>min</x:v>
      </x:c>
      <x:c r="D9" s="28" t="str">
        <x:v>Platform/PKL/LCA driver</x:v>
      </x:c>
      <x:c r="E9" s="28" t="str">
        <x:v>Pyrolysis time</x:v>
      </x:c>
      <x:c r="F9" s="28" t="str">
        <x:v>May drive energy scenario</x:v>
      </x:c>
      <x:c r="H9" s="28" t="str">
        <x:v>price_N2_USD_kg</x:v>
      </x:c>
      <x:c r="I9" s="28" t="str">
        <x:v>0.25</x:v>
      </x:c>
      <x:c r="J9" s="28" t="str">
        <x:v>USD/kg</x:v>
      </x:c>
      <x:c r="K9" s="28" t="str">
        <x:v>Cost</x:v>
      </x:c>
      <x:c r="L9" s="28" t="str">
        <x:v>Nitrogen price</x:v>
      </x:c>
      <x:c r="M9" s="28" t="str">
        <x:v>P02</x:v>
      </x:c>
    </x:row>
    <x:row r="10">
      <x:c r="A10" s="28" t="str">
        <x:v>heating_rate_C_min</x:v>
      </x:c>
      <x:c r="B10" s="28" t="str">
        <x:v>8.5</x:v>
      </x:c>
      <x:c r="C10" s="28" t="str">
        <x:v>deg C/min</x:v>
      </x:c>
      <x:c r="D10" s="28" t="str">
        <x:v>Platform/PKL/LCA driver</x:v>
      </x:c>
      <x:c r="E10" s="28" t="str">
        <x:v>Heating rate</x:v>
      </x:c>
      <x:c r="F10" s="28" t="str">
        <x:v>May drive energy scenario</x:v>
      </x:c>
      <x:c r="H10" s="28" t="str">
        <x:v>price_water_USD_kg</x:v>
      </x:c>
      <x:c r="I10" s="28" t="str">
        <x:v>0.001</x:v>
      </x:c>
      <x:c r="J10" s="28" t="str">
        <x:v>USD/kg</x:v>
      </x:c>
      <x:c r="K10" s="28" t="str">
        <x:v>Cost</x:v>
      </x:c>
      <x:c r="L10" s="28" t="str">
        <x:v>Process water price</x:v>
      </x:c>
      <x:c r="M10" s="28" t="str">
        <x:v>P03/P07</x:v>
      </x:c>
    </x:row>
    <x:row r="11">
      <x:c r="A11" s="28" t="str">
        <x:v>C_percent</x:v>
      </x:c>
      <x:c r="B11" s="28" t="str">
        <x:v>67.62</x:v>
      </x:c>
      <x:c r="C11" s="28" t="str">
        <x:v>%</x:v>
      </x:c>
      <x:c r="D11" s="28" t="str">
        <x:v>PKL</x:v>
      </x:c>
      <x:c r="E11" s="28" t="str">
        <x:v>Carbon content</x:v>
      </x:c>
      <x:c r="F11" s="28" t="str">
        <x:v>Descriptor only unless carbon storage is modelled</x:v>
      </x:c>
      <x:c r="H11" s="28" t="str">
        <x:v>price_wastewater_USD_m3</x:v>
      </x:c>
      <x:c r="I11" s="28" t="str">
        <x:v>0.50</x:v>
      </x:c>
      <x:c r="J11" s="28" t="str">
        <x:v>USD/m3</x:v>
      </x:c>
      <x:c r="K11" s="28" t="str">
        <x:v>Cost</x:v>
      </x:c>
      <x:c r="L11" s="28" t="str">
        <x:v>Wastewater treatment cost</x:v>
      </x:c>
      <x:c r="M11" s="28" t="str">
        <x:v>P03/P07</x:v>
      </x:c>
    </x:row>
    <x:row r="12">
      <x:c r="A12" s="28" t="str">
        <x:v>ash_percent</x:v>
      </x:c>
      <x:c r="B12" s="28" t="str">
        <x:v>3.61</x:v>
      </x:c>
      <x:c r="C12" s="28" t="str">
        <x:v>%</x:v>
      </x:c>
      <x:c r="D12" s="28" t="str">
        <x:v>PKL</x:v>
      </x:c>
      <x:c r="E12" s="28" t="str">
        <x:v>Ash content</x:v>
      </x:c>
      <x:c r="F12" s="28" t="str">
        <x:v>Descriptor only</x:v>
      </x:c>
      <x:c r="H12" s="28" t="str">
        <x:v>price_KOH_USD_kg</x:v>
      </x:c>
      <x:c r="I12" s="28" t="str">
        <x:v>1.50</x:v>
      </x:c>
      <x:c r="J12" s="28" t="str">
        <x:v>USD/kg</x:v>
      </x:c>
      <x:c r="K12" s="28" t="str">
        <x:v>Cost</x:v>
      </x:c>
      <x:c r="L12" s="28" t="str">
        <x:v>KOH price</x:v>
      </x:c>
      <x:c r="M12" s="28" t="str">
        <x:v>P03</x:v>
      </x:c>
    </x:row>
    <x:row r="13">
      <x:c r="A13" s="28" t="str">
        <x:v>H_C</x:v>
      </x:c>
      <x:c r="B13" s="28" t="str">
        <x:v>0.245</x:v>
      </x:c>
      <x:c r="C13" s="28" t="str">
        <x:v>-</x:v>
      </x:c>
      <x:c r="D13" s="28" t="str">
        <x:v>PKL</x:v>
      </x:c>
      <x:c r="E13" s="28" t="str">
        <x:v>H/C ratio</x:v>
      </x:c>
      <x:c r="F13" s="28" t="str">
        <x:v>Descriptor only</x:v>
      </x:c>
      <x:c r="H13" s="28" t="str">
        <x:v>price_HCl_USD_kg</x:v>
      </x:c>
      <x:c r="I13" s="28" t="str">
        <x:v>0.20</x:v>
      </x:c>
      <x:c r="J13" s="28" t="str">
        <x:v>USD/kg</x:v>
      </x:c>
      <x:c r="K13" s="28" t="str">
        <x:v>Cost</x:v>
      </x:c>
      <x:c r="L13" s="28" t="str">
        <x:v>HCl price</x:v>
      </x:c>
      <x:c r="M13" s="28" t="str">
        <x:v>P03</x:v>
      </x:c>
    </x:row>
    <x:row r="14">
      <x:c r="A14" s="28" t="str">
        <x:v>O_C</x:v>
      </x:c>
      <x:c r="B14" s="28" t="str">
        <x:v>0.208</x:v>
      </x:c>
      <x:c r="C14" s="28" t="str">
        <x:v>-</x:v>
      </x:c>
      <x:c r="D14" s="28" t="str">
        <x:v>PKL</x:v>
      </x:c>
      <x:c r="E14" s="28" t="str">
        <x:v>O/C ratio</x:v>
      </x:c>
      <x:c r="F14" s="28" t="str">
        <x:v>Descriptor only</x:v>
      </x:c>
      <x:c r="H14" s="28" t="str">
        <x:v>price_FeCl3_USD_kg</x:v>
      </x:c>
      <x:c r="I14" s="28" t="str">
        <x:v>0.80</x:v>
      </x:c>
      <x:c r="J14" s="28" t="str">
        <x:v>USD/kg</x:v>
      </x:c>
      <x:c r="K14" s="28" t="str">
        <x:v>Cost</x:v>
      </x:c>
      <x:c r="L14" s="28" t="str">
        <x:v>FeCl3 price</x:v>
      </x:c>
      <x:c r="M14" s="28" t="str">
        <x:v>P03</x:v>
      </x:c>
    </x:row>
    <x:row r="15">
      <x:c r="A15" s="28" t="str">
        <x:v>ON_C</x:v>
      </x:c>
      <x:c r="B15" s="28" t="str">
        <x:v>0.219</x:v>
      </x:c>
      <x:c r="C15" s="28" t="str">
        <x:v>-</x:v>
      </x:c>
      <x:c r="D15" s="28" t="str">
        <x:v>PKL</x:v>
      </x:c>
      <x:c r="E15" s="28" t="str">
        <x:v>(O+N)/C ratio</x:v>
      </x:c>
      <x:c r="F15" s="28" t="str">
        <x:v>Descriptor only</x:v>
      </x:c>
      <x:c r="H15" s="28" t="str">
        <x:v>price_urea_USD_kg</x:v>
      </x:c>
      <x:c r="I15" s="28" t="str">
        <x:v>0.40</x:v>
      </x:c>
      <x:c r="J15" s="28" t="str">
        <x:v>USD/kg</x:v>
      </x:c>
      <x:c r="K15" s="28" t="str">
        <x:v>Cost</x:v>
      </x:c>
      <x:c r="L15" s="28" t="str">
        <x:v>Urea price</x:v>
      </x:c>
      <x:c r="M15" s="28" t="str">
        <x:v>P03</x:v>
      </x:c>
    </x:row>
    <x:row r="16">
      <x:c r="A16" s="28" t="str">
        <x:v>surface_area_m2_g</x:v>
      </x:c>
      <x:c r="B16" s="28" t="str">
        <x:v>206.97</x:v>
      </x:c>
      <x:c r="C16" s="28" t="str">
        <x:v>m2/g</x:v>
      </x:c>
      <x:c r="D16" s="28" t="str">
        <x:v>PKL</x:v>
      </x:c>
      <x:c r="E16" s="28" t="str">
        <x:v>Surface area</x:v>
      </x:c>
      <x:c r="F16" s="28" t="str">
        <x:v>Descriptor only</x:v>
      </x:c>
      <x:c r="H16" s="28" t="str">
        <x:v>price_CaCl2_USD_kg</x:v>
      </x:c>
      <x:c r="I16" s="28" t="str">
        <x:v>0.35</x:v>
      </x:c>
      <x:c r="J16" s="28" t="str">
        <x:v>USD/kg</x:v>
      </x:c>
      <x:c r="K16" s="28" t="str">
        <x:v>Cost</x:v>
      </x:c>
      <x:c r="L16" s="28" t="str">
        <x:v>CaCl2 market/proxy purchase price</x:v>
      </x:c>
      <x:c r="M16" s="28" t="str">
        <x:v>P04 or P07</x:v>
      </x:c>
    </x:row>
    <x:row r="17">
      <x:c r="A17" s="28" t="str">
        <x:v>avg_pore_size_nm</x:v>
      </x:c>
      <x:c r="B17" s="28" t="str">
        <x:v>3.31</x:v>
      </x:c>
      <x:c r="C17" s="28" t="str">
        <x:v>nm</x:v>
      </x:c>
      <x:c r="D17" s="28" t="str">
        <x:v>PKL</x:v>
      </x:c>
      <x:c r="E17" s="28" t="str">
        <x:v>Average pore size</x:v>
      </x:c>
      <x:c r="F17" s="28" t="str">
        <x:v>Descriptor only</x:v>
      </x:c>
      <x:c r="H17" s="28" t="str">
        <x:v>price_NaCl_USD_kg</x:v>
      </x:c>
      <x:c r="I17" s="28" t="str">
        <x:v>0.10</x:v>
      </x:c>
      <x:c r="J17" s="28" t="str">
        <x:v>USD/kg</x:v>
      </x:c>
      <x:c r="K17" s="28" t="str">
        <x:v>Cost</x:v>
      </x:c>
      <x:c r="L17" s="28" t="str">
        <x:v>NaCl price</x:v>
      </x:c>
      <x:c r="M17" s="28" t="str">
        <x:v>P04</x:v>
      </x:c>
    </x:row>
    <x:row r="18">
      <x:c r="A18" s="28" t="str">
        <x:v>pore_volume_cm3_g</x:v>
      </x:c>
      <x:c r="B18" s="28" t="str">
        <x:v>0.125</x:v>
      </x:c>
      <x:c r="C18" s="28" t="str">
        <x:v>cm3/g</x:v>
      </x:c>
      <x:c r="D18" s="28" t="str">
        <x:v>PKL</x:v>
      </x:c>
      <x:c r="E18" s="28" t="str">
        <x:v>Pore volume</x:v>
      </x:c>
      <x:c r="F18" s="28" t="str">
        <x:v>Descriptor only</x:v>
      </x:c>
      <x:c r="H18" s="28" t="str">
        <x:v>price_humic_USD_kg</x:v>
      </x:c>
      <x:c r="I18" s="28" t="str">
        <x:v>5.00</x:v>
      </x:c>
      <x:c r="J18" s="28" t="str">
        <x:v>USD/kg</x:v>
      </x:c>
      <x:c r="K18" s="28" t="str">
        <x:v>Cost</x:v>
      </x:c>
      <x:c r="L18" s="28" t="str">
        <x:v>Humic acid proxy price</x:v>
      </x:c>
      <x:c r="M18" s="28" t="str">
        <x:v>P04</x:v>
      </x:c>
    </x:row>
    <x:row r="19">
      <x:c r="A19" s="28" t="str">
        <x:v>pH_solution</x:v>
      </x:c>
      <x:c r="B19" s="28" t="str">
        <x:v>6.5</x:v>
      </x:c>
      <x:c r="C19" s="28" t="str">
        <x:v>-</x:v>
      </x:c>
      <x:c r="D19" s="28" t="str">
        <x:v>Platform/PKL</x:v>
      </x:c>
      <x:c r="E19" s="28" t="str">
        <x:v>Solution pH</x:v>
      </x:c>
      <x:c r="F19" s="28" t="str">
        <x:v>If pH adjustment chemicals are modelled, add acid/base parameters</x:v>
      </x:c>
      <x:c r="H19" s="28" t="str">
        <x:v>price_filter_media_USD_kg</x:v>
      </x:c>
      <x:c r="I19" s="28" t="str">
        <x:v>2.00</x:v>
      </x:c>
      <x:c r="J19" s="28" t="str">
        <x:v>USD/kg</x:v>
      </x:c>
      <x:c r="K19" s="28" t="str">
        <x:v>Cost</x:v>
      </x:c>
      <x:c r="L19" s="28" t="str">
        <x:v>Filter media price</x:v>
      </x:c>
      <x:c r="M19" s="28" t="str">
        <x:v>P04</x:v>
      </x:c>
    </x:row>
    <x:row r="20">
      <x:c r="A20" s="28" t="str">
        <x:v>t_ads_min</x:v>
      </x:c>
      <x:c r="B20" s="28" t="str">
        <x:v>720</x:v>
      </x:c>
      <x:c r="C20" s="28" t="str">
        <x:v>min</x:v>
      </x:c>
      <x:c r="D20" s="28" t="str">
        <x:v>Platform/PKL/LCA</x:v>
      </x:c>
      <x:c r="E20" s="28" t="str">
        <x:v>Adsorption time</x:v>
      </x:c>
      <x:c r="F20" s="28" t="str">
        <x:v>Controls adsorption electricity</x:v>
      </x:c>
      <x:c r="H20" s="28" t="str">
        <x:v>price_incin_USD_kg</x:v>
      </x:c>
      <x:c r="I20" s="28" t="str">
        <x:v>2.00</x:v>
      </x:c>
      <x:c r="J20" s="28" t="str">
        <x:v>USD/kg</x:v>
      </x:c>
      <x:c r="K20" s="28" t="str">
        <x:v>Cost</x:v>
      </x:c>
      <x:c r="L20" s="28" t="str">
        <x:v>Hazardous incineration service</x:v>
      </x:c>
      <x:c r="M20" s="28" t="str">
        <x:v>P05</x:v>
      </x:c>
    </x:row>
    <x:row r="21">
      <x:c r="A21" s="28" t="str">
        <x:v>T_ads_C</x:v>
      </x:c>
      <x:c r="B21" s="28" t="str">
        <x:v>25</x:v>
      </x:c>
      <x:c r="C21" s="28" t="str">
        <x:v>deg C</x:v>
      </x:c>
      <x:c r="D21" s="28" t="str">
        <x:v>Platform/PKL</x:v>
      </x:c>
      <x:c r="E21" s="28" t="str">
        <x:v>Adsorption temperature</x:v>
      </x:c>
      <x:c r="F21" s="28" t="str">
        <x:v>Heating/cooling can be added if T differs from ambient</x:v>
      </x:c>
      <x:c r="H21" s="28" t="str">
        <x:v>price_landfill_USD_kg</x:v>
      </x:c>
      <x:c r="I21" s="28" t="str">
        <x:v>0.25</x:v>
      </x:c>
      <x:c r="J21" s="28" t="str">
        <x:v>USD/kg</x:v>
      </x:c>
      <x:c r="K21" s="28" t="str">
        <x:v>Cost</x:v>
      </x:c>
      <x:c r="L21" s="28" t="str">
        <x:v>Hazardous landfill service</x:v>
      </x:c>
      <x:c r="M21" s="28" t="str">
        <x:v>P06</x:v>
      </x:c>
    </x:row>
    <x:row r="22">
      <x:c r="A22" s="28" t="str">
        <x:v>SLR_g_L</x:v>
      </x:c>
      <x:c r="B22" s="28" t="str">
        <x:v>0.25</x:v>
      </x:c>
      <x:c r="C22" s="28" t="str">
        <x:v>g/L</x:v>
      </x:c>
      <x:c r="D22" s="28" t="str">
        <x:v>Platform/PKL/LCA</x:v>
      </x:c>
      <x:c r="E22" s="28" t="str">
        <x:v>Solid/liquid ratio biochar dose</x:v>
      </x:c>
      <x:c r="F22" s="28" t="str">
        <x:v>Controls m_biochar_kg</x:v>
      </x:c>
      <x:c r="H22" s="28" t="str">
        <x:v>price_caco3_USD_kg</x:v>
      </x:c>
      <x:c r="I22" s="28" t="str">
        <x:v>0.05</x:v>
      </x:c>
      <x:c r="J22" s="28" t="str">
        <x:v>USD/kg</x:v>
      </x:c>
      <x:c r="K22" s="28" t="str">
        <x:v>Cost</x:v>
      </x:c>
      <x:c r="L22" s="28" t="str">
        <x:v>CaCO3/limestone price if detailed P07 cost used</x:v>
      </x:c>
      <x:c r="M22" s="28" t="str">
        <x:v>P07</x:v>
      </x:c>
    </x:row>
    <x:row r="23">
      <x:c r="A23" s="28" t="str">
        <x:v>C0_mg_L</x:v>
      </x:c>
      <x:c r="B23" s="28" t="str">
        <x:v>1</x:v>
      </x:c>
      <x:c r="C23" s="28" t="str">
        <x:v>mg/L</x:v>
      </x:c>
      <x:c r="D23" s="28" t="str">
        <x:v>Platform/PKL/LCA</x:v>
      </x:c>
      <x:c r="E23" s="28" t="str">
        <x:v>Initial PFAS concentration</x:v>
      </x:c>
      <x:c r="F23" s="28" t="str">
        <x:v>Controls PFAS mass balance</x:v>
      </x:c>
      <x:c r="H23" s="28" t="str">
        <x:v>price_HCl30_USD_kg</x:v>
      </x:c>
      <x:c r="I23" s="28" t="str">
        <x:v>0.12</x:v>
      </x:c>
      <x:c r="J23" s="28" t="str">
        <x:v>USD/kg</x:v>
      </x:c>
      <x:c r="K23" s="28" t="str">
        <x:v>Cost</x:v>
      </x:c>
      <x:c r="L23" s="28" t="str">
        <x:v>30% HCl solution price if detailed P07 cost used</x:v>
      </x:c>
      <x:c r="M23" s="28" t="str">
        <x:v>P07</x:v>
      </x:c>
    </x:row>
    <x:row r="24">
      <x:c r="A24" s="28" t="str">
        <x:v>CaCl2_mM</x:v>
      </x:c>
      <x:c r="B24" s="28" t="str">
        <x:v>0</x:v>
      </x:c>
      <x:c r="C24" s="28" t="str">
        <x:v>mM</x:v>
      </x:c>
      <x:c r="D24" s="28" t="str">
        <x:v>Platform/PKL/LCA</x:v>
      </x:c>
      <x:c r="E24" s="28" t="str">
        <x:v>Calcium chloride concentration</x:v>
      </x:c>
      <x:c r="F24" s="28" t="str">
        <x:v>Controls m_CaCl2_kg and links to P07</x:v>
      </x:c>
    </x:row>
    <x:row r="25">
      <x:c r="A25" s="28" t="str">
        <x:v>NaCl_mM</x:v>
      </x:c>
      <x:c r="B25" s="28" t="str">
        <x:v>0</x:v>
      </x:c>
      <x:c r="C25" s="28" t="str">
        <x:v>mM</x:v>
      </x:c>
      <x:c r="D25" s="28" t="str">
        <x:v>Platform/PKL/LCA</x:v>
      </x:c>
      <x:c r="E25" s="28" t="str">
        <x:v>Sodium chloride concentration</x:v>
      </x:c>
      <x:c r="F25" s="28" t="str">
        <x:v>Controls m_NaCl_kg</x:v>
      </x:c>
    </x:row>
    <x:row r="26">
      <x:c r="A26" s="28" t="str">
        <x:v>humic_mg_L</x:v>
      </x:c>
      <x:c r="B26" s="28" t="str">
        <x:v>0</x:v>
      </x:c>
      <x:c r="C26" s="28" t="str">
        <x:v>mg/L</x:v>
      </x:c>
      <x:c r="D26" s="28" t="str">
        <x:v>Platform/PKL/LCA</x:v>
      </x:c>
      <x:c r="E26" s="28" t="str">
        <x:v>Humic acid concentration</x:v>
      </x:c>
      <x:c r="F26" s="28" t="str">
        <x:v>Controls m_humic_kg</x:v>
      </x:c>
    </x:row>
    <x:row r="27">
      <x:c r="A27" s="28" t="str">
        <x:v>RE_pred</x:v>
      </x:c>
      <x:c r="B27" s="28" t="str">
        <x:v>0.80</x:v>
      </x:c>
      <x:c r="C27" s="28" t="str">
        <x:v>fraction</x:v>
      </x:c>
      <x:c r="D27" s="28" t="str">
        <x:v>PKL output</x:v>
      </x:c>
      <x:c r="E27" s="28" t="str">
        <x:v>Predicted removal efficiency</x:v>
      </x:c>
      <x:c r="F27" s="28" t="str">
        <x:v>Controls PFAS removed/residual/spent biochar</x:v>
      </x:c>
    </x:row>
    <x:row r="28">
      <x:c r="A28" s="28" t="str">
        <x:v>biochar_yield</x:v>
      </x:c>
      <x:c r="B28" s="28" t="str">
        <x:v>0.30</x:v>
      </x:c>
      <x:c r="C28" s="28" t="str">
        <x:v>kg/kg</x:v>
      </x:c>
      <x:c r="D28" s="28" t="str">
        <x:v>LCA/LCC</x:v>
      </x:c>
      <x:c r="E28" s="28" t="str">
        <x:v>Biochar yield from dry biomass</x:v>
      </x:c>
      <x:c r="F28" s="28" t="str">
        <x:v>Controls P02 biomass input</x:v>
      </x:c>
    </x:row>
    <x:row r="29">
      <x:c r="A29" s="28" t="str">
        <x:v>biomass_moisture_factor</x:v>
      </x:c>
      <x:c r="B29" s="28" t="str">
        <x:v>1.25</x:v>
      </x:c>
      <x:c r="C29" s="28" t="str">
        <x:v>kg wet/kg dry</x:v>
      </x:c>
      <x:c r="D29" s="28" t="str">
        <x:v>LCA/LCC</x:v>
      </x:c>
      <x:c r="E29" s="28" t="str">
        <x:v>Wet biomass input per dry biomass</x:v>
      </x:c>
      <x:c r="F29" s="28" t="str">
        <x:v>Controls P01 wet biomass and transport</x:v>
      </x:c>
    </x:row>
    <x:row r="30">
      <x:c r="A30" s="28" t="str">
        <x:v>biomass_transport_km</x:v>
      </x:c>
      <x:c r="B30" s="28" t="str">
        <x:v>50</x:v>
      </x:c>
      <x:c r="C30" s="28" t="str">
        <x:v>km</x:v>
      </x:c>
      <x:c r="D30" s="28" t="str">
        <x:v>LCA/LCC</x:v>
      </x:c>
      <x:c r="E30" s="28" t="str">
        <x:v>Biomass transport distance</x:v>
      </x:c>
      <x:c r="F30" s="28" t="str">
        <x:v>Controls P01 transport tkm</x:v>
      </x:c>
    </x:row>
    <x:row r="31">
      <x:c r="A31" s="28" t="str">
        <x:v>prep_elec_kWh_kgDry</x:v>
      </x:c>
      <x:c r="B31" s="28" t="str">
        <x:v>0.02</x:v>
      </x:c>
      <x:c r="C31" s="28" t="str">
        <x:v>kWh/kg dry</x:v>
      </x:c>
      <x:c r="D31" s="28" t="str">
        <x:v>LCA/LCC</x:v>
      </x:c>
      <x:c r="E31" s="28" t="str">
        <x:v>Preparation electricity</x:v>
      </x:c>
      <x:c r="F31" s="28" t="str">
        <x:v>P01</x:v>
      </x:c>
    </x:row>
    <x:row r="32">
      <x:c r="A32" s="28" t="str">
        <x:v>prep_heat_MJ_kgDry</x:v>
      </x:c>
      <x:c r="B32" s="28" t="str">
        <x:v>0.50</x:v>
      </x:c>
      <x:c r="C32" s="28" t="str">
        <x:v>MJ/kg dry</x:v>
      </x:c>
      <x:c r="D32" s="28" t="str">
        <x:v>LCA/LCC</x:v>
      </x:c>
      <x:c r="E32" s="28" t="str">
        <x:v>Preparation heat</x:v>
      </x:c>
      <x:c r="F32" s="28" t="str">
        <x:v>P01</x:v>
      </x:c>
    </x:row>
    <x:row r="33">
      <x:c r="A33" s="28" t="str">
        <x:v>pyrolysis_elec_kWh_kgBC</x:v>
      </x:c>
      <x:c r="B33" s="28" t="str">
        <x:v>0.20</x:v>
      </x:c>
      <x:c r="C33" s="28" t="str">
        <x:v>kWh/kg BC</x:v>
      </x:c>
      <x:c r="D33" s="28" t="str">
        <x:v>LCA/LCC</x:v>
      </x:c>
      <x:c r="E33" s="28" t="str">
        <x:v>Pyrolysis electricity</x:v>
      </x:c>
      <x:c r="F33" s="28" t="str">
        <x:v>P02</x:v>
      </x:c>
    </x:row>
    <x:row r="34">
      <x:c r="A34" s="28" t="str">
        <x:v>pyrolysis_heat_MJ_kgBC</x:v>
      </x:c>
      <x:c r="B34" s="28" t="str">
        <x:v>5.00</x:v>
      </x:c>
      <x:c r="C34" s="28" t="str">
        <x:v>MJ/kg BC</x:v>
      </x:c>
      <x:c r="D34" s="28" t="str">
        <x:v>LCA/LCC</x:v>
      </x:c>
      <x:c r="E34" s="28" t="str">
        <x:v>Pyrolysis heat</x:v>
      </x:c>
      <x:c r="F34" s="28" t="str">
        <x:v>P02</x:v>
      </x:c>
    </x:row>
    <x:row r="35">
      <x:c r="A35" s="28" t="str">
        <x:v>N2_kg_kgBC</x:v>
      </x:c>
      <x:c r="B35" s="28" t="str">
        <x:v>0.00</x:v>
      </x:c>
      <x:c r="C35" s="28" t="str">
        <x:v>kg/kg BC</x:v>
      </x:c>
      <x:c r="D35" s="28" t="str">
        <x:v>LCA/LCC</x:v>
      </x:c>
      <x:c r="E35" s="28" t="str">
        <x:v>Nitrogen gas</x:v>
      </x:c>
      <x:c r="F35" s="28" t="str">
        <x:v>P02 optional</x:v>
      </x:c>
    </x:row>
    <x:row r="36">
      <x:c r="A36" s="28" t="str">
        <x:v>wash_water_kg_kgBC</x:v>
      </x:c>
      <x:c r="B36" s="28" t="str">
        <x:v>5.00</x:v>
      </x:c>
      <x:c r="C36" s="28" t="str">
        <x:v>kg/kg BC</x:v>
      </x:c>
      <x:c r="D36" s="28" t="str">
        <x:v>LCA/LCC</x:v>
      </x:c>
      <x:c r="E36" s="28" t="str">
        <x:v>Washing water</x:v>
      </x:c>
      <x:c r="F36" s="28" t="str">
        <x:v>P03</x:v>
      </x:c>
    </x:row>
    <x:row r="37">
      <x:c r="A37" s="28" t="str">
        <x:v>washing_elec_kWh_kgBC</x:v>
      </x:c>
      <x:c r="B37" s="28" t="str">
        <x:v>0.10</x:v>
      </x:c>
      <x:c r="C37" s="28" t="str">
        <x:v>kWh/kg BC</x:v>
      </x:c>
      <x:c r="D37" s="28" t="str">
        <x:v>LCA/LCC</x:v>
      </x:c>
      <x:c r="E37" s="28" t="str">
        <x:v>Washing electricity</x:v>
      </x:c>
      <x:c r="F37" s="28" t="str">
        <x:v>P03</x:v>
      </x:c>
    </x:row>
    <x:row r="38">
      <x:c r="A38" s="28" t="str">
        <x:v>washing_heat_MJ_kgBC</x:v>
      </x:c>
      <x:c r="B38" s="28" t="str">
        <x:v>1.00</x:v>
      </x:c>
      <x:c r="C38" s="28" t="str">
        <x:v>MJ/kg BC</x:v>
      </x:c>
      <x:c r="D38" s="28" t="str">
        <x:v>LCA/LCC</x:v>
      </x:c>
      <x:c r="E38" s="28" t="str">
        <x:v>Washing/drying heat</x:v>
      </x:c>
      <x:c r="F38" s="28" t="str">
        <x:v>P03</x:v>
      </x:c>
    </x:row>
    <x:row r="39">
      <x:c r="A39" s="28" t="str">
        <x:v>KOH_kg_kgBC</x:v>
      </x:c>
      <x:c r="B39" s="28" t="str">
        <x:v>0.00</x:v>
      </x:c>
      <x:c r="C39" s="28" t="str">
        <x:v>kg/kg BC</x:v>
      </x:c>
      <x:c r="D39" s="28" t="str">
        <x:v>LCA/LCC</x:v>
      </x:c>
      <x:c r="E39" s="28" t="str">
        <x:v>KOH activation input</x:v>
      </x:c>
      <x:c r="F39" s="28" t="str">
        <x:v>P03 optional</x:v>
      </x:c>
    </x:row>
    <x:row r="40">
      <x:c r="A40" s="28" t="str">
        <x:v>HCl_kg_kgBC</x:v>
      </x:c>
      <x:c r="B40" s="28" t="str">
        <x:v>0.00</x:v>
      </x:c>
      <x:c r="C40" s="28" t="str">
        <x:v>kg/kg BC</x:v>
      </x:c>
      <x:c r="D40" s="28" t="str">
        <x:v>LCA/LCC</x:v>
      </x:c>
      <x:c r="E40" s="28" t="str">
        <x:v>HCl washing/neutralization</x:v>
      </x:c>
      <x:c r="F40" s="28" t="str">
        <x:v>P03 optional</x:v>
      </x:c>
    </x:row>
    <x:row r="41">
      <x:c r="A41" s="28" t="str">
        <x:v>FeCl3_kg_kgBC</x:v>
      </x:c>
      <x:c r="B41" s="28" t="str">
        <x:v>0.00</x:v>
      </x:c>
      <x:c r="C41" s="28" t="str">
        <x:v>kg/kg BC</x:v>
      </x:c>
      <x:c r="D41" s="28" t="str">
        <x:v>LCA/LCC</x:v>
      </x:c>
      <x:c r="E41" s="28" t="str">
        <x:v>FeCl3 modification</x:v>
      </x:c>
      <x:c r="F41" s="28" t="str">
        <x:v>P03 optional</x:v>
      </x:c>
    </x:row>
    <x:row r="42">
      <x:c r="A42" s="28" t="str">
        <x:v>urea_kg_kgBC</x:v>
      </x:c>
      <x:c r="B42" s="28" t="str">
        <x:v>0.00</x:v>
      </x:c>
      <x:c r="C42" s="28" t="str">
        <x:v>kg/kg BC</x:v>
      </x:c>
      <x:c r="D42" s="28" t="str">
        <x:v>LCA/LCC</x:v>
      </x:c>
      <x:c r="E42" s="28" t="str">
        <x:v>Urea/N-doping input</x:v>
      </x:c>
      <x:c r="F42" s="28" t="str">
        <x:v>P03 optional</x:v>
      </x:c>
    </x:row>
    <x:row r="43">
      <x:c r="A43" s="28" t="str">
        <x:v>adsorption_elec_kWh_m3_h</x:v>
      </x:c>
      <x:c r="B43" s="28" t="str">
        <x:v>0.0067</x:v>
      </x:c>
      <x:c r="C43" s="28" t="str">
        <x:v>kWh/m3/h</x:v>
      </x:c>
      <x:c r="D43" s="28" t="str">
        <x:v>LCA/LCC</x:v>
      </x:c>
      <x:c r="E43" s="28" t="str">
        <x:v>Adsorption mixing/pumping rate</x:v>
      </x:c>
      <x:c r="F43" s="28" t="str">
        <x:v>P04</x:v>
      </x:c>
    </x:row>
    <x:row r="44">
      <x:c r="A44" s="28" t="str">
        <x:v>filter_media_kg_m3</x:v>
      </x:c>
      <x:c r="B44" s="28" t="str">
        <x:v>0.01</x:v>
      </x:c>
      <x:c r="C44" s="28" t="str">
        <x:v>kg/m3</x:v>
      </x:c>
      <x:c r="D44" s="28" t="str">
        <x:v>LCA/LCC</x:v>
      </x:c>
      <x:c r="E44" s="28" t="str">
        <x:v>Filter media for post-separation</x:v>
      </x:c>
      <x:c r="F44" s="28" t="str">
        <x:v>P04 optional</x:v>
      </x:c>
    </x:row>
    <x:row r="45">
      <x:c r="A45" s="28" t="str">
        <x:v>ash_fraction_spent</x:v>
      </x:c>
      <x:c r="B45" s="28" t="str">
        <x:v>0.05</x:v>
      </x:c>
      <x:c r="C45" s="28" t="str">
        <x:v>kg ash/kg spent</x:v>
      </x:c>
      <x:c r="D45" s="28" t="str">
        <x:v>LCA/LCC</x:v>
      </x:c>
      <x:c r="E45" s="28" t="str">
        <x:v>Incineration ash fraction</x:v>
      </x:c>
      <x:c r="F45" s="28" t="str">
        <x:v>P05 optional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0" hidden="0" customWidth="1"/>
    <x:col min="3" max="3" width="15" hidden="0" customWidth="1"/>
    <x:col min="4" max="4" width="30" hidden="0" customWidth="1"/>
    <x:col min="5" max="5" width="55" hidden="0" customWidth="1"/>
  </x:cols>
  <x:sheetData>
    <x:row r="1" ht="28" customHeight="1">
      <x:c r="A1" s="50" t="str">
        <x:v>Dependent Parameters in P04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Your architecture keeps mass-balance dependent parameters in P04. Use decimal notation like 0.000001, not 1e-6.</x:v>
      </x:c>
    </x:row>
    <x:row r="4">
      <x:c r="A4" s="24" t="str">
        <x:v>Dependent parameter</x:v>
      </x:c>
      <x:c r="B4" s="24" t="str">
        <x:v>openLCA-safe formula</x:v>
      </x:c>
      <x:c r="C4" s="24" t="str">
        <x:v>Unit</x:v>
      </x:c>
      <x:c r="D4" s="24" t="str">
        <x:v>Where to create</x:v>
      </x:c>
      <x:c r="E4" s="24" t="str">
        <x:v>Purpose / exchange link</x:v>
      </x:c>
    </x:row>
    <x:row r="5">
      <x:c r="A5" s="28" t="str">
        <x:v>m_biochar_kg</x:v>
      </x:c>
      <x:c r="B5" s="28" t="str">
        <x:v>SLR_g_L * V_water_L / 1000</x:v>
      </x:c>
      <x:c r="C5" s="28" t="str">
        <x:v>kg/FU</x:v>
      </x:c>
      <x:c r="D5" s="28" t="str">
        <x:v>P04 dependent</x:v>
      </x:c>
      <x:c r="E5" s="28" t="str">
        <x:v>P04 input Usable biochar</x:v>
      </x:c>
    </x:row>
    <x:row r="6">
      <x:c r="A6" s="28" t="str">
        <x:v>m_PFAS_in_kg</x:v>
      </x:c>
      <x:c r="B6" s="28" t="str">
        <x:v>C0_mg_L * V_water_L * 0.000001</x:v>
      </x:c>
      <x:c r="C6" s="28" t="str">
        <x:v>kg/FU</x:v>
      </x:c>
      <x:c r="D6" s="28" t="str">
        <x:v>P04 dependent</x:v>
      </x:c>
      <x:c r="E6" s="28" t="str">
        <x:v>PFAS entering</x:v>
      </x:c>
    </x:row>
    <x:row r="7">
      <x:c r="A7" s="28" t="str">
        <x:v>m_PFAS_removed_kg</x:v>
      </x:c>
      <x:c r="B7" s="28" t="str">
        <x:v>C0_mg_L * V_water_L * 0.000001 * RE_pred</x:v>
      </x:c>
      <x:c r="C7" s="28" t="str">
        <x:v>kg/FU</x:v>
      </x:c>
      <x:c r="D7" s="28" t="str">
        <x:v>P04 dependent</x:v>
      </x:c>
      <x:c r="E7" s="28" t="str">
        <x:v>PFAS captured</x:v>
      </x:c>
    </x:row>
    <x:row r="8">
      <x:c r="A8" s="28" t="str">
        <x:v>m_PFAS_residual_kg</x:v>
      </x:c>
      <x:c r="B8" s="28" t="str">
        <x:v>C0_mg_L * V_water_L * 0.000001 * (1 - RE_pred)</x:v>
      </x:c>
      <x:c r="C8" s="28" t="str">
        <x:v>kg/FU</x:v>
      </x:c>
      <x:c r="D8" s="28" t="str">
        <x:v>P04 dependent</x:v>
      </x:c>
      <x:c r="E8" s="28" t="str">
        <x:v>Residual PFAS to water</x:v>
      </x:c>
    </x:row>
    <x:row r="9">
      <x:c r="A9" s="28" t="str">
        <x:v>m_spent_biochar_kg</x:v>
      </x:c>
      <x:c r="B9" s="28" t="str">
        <x:v>(SLR_g_L * V_water_L / 1000) + (C0_mg_L * V_water_L * 0.000001 * RE_pred)</x:v>
      </x:c>
      <x:c r="C9" s="28" t="str">
        <x:v>kg/FU</x:v>
      </x:c>
      <x:c r="D9" s="28" t="str">
        <x:v>P04 dependent</x:v>
      </x:c>
      <x:c r="E9" s="28" t="str">
        <x:v>P04 output to P05/P06</x:v>
      </x:c>
    </x:row>
    <x:row r="10">
      <x:c r="A10" s="28" t="str">
        <x:v>m_dry_biomass_kg_FU</x:v>
      </x:c>
      <x:c r="B10" s="28" t="str">
        <x:v>(SLR_g_L * V_water_L / 1000) / biochar_yield</x:v>
      </x:c>
      <x:c r="C10" s="28" t="str">
        <x:v>kg/FU</x:v>
      </x:c>
      <x:c r="D10" s="28" t="str">
        <x:v>P04 dependent/calculator</x:v>
      </x:c>
      <x:c r="E10" s="28" t="str">
        <x:v>Dry biomass demand after scaling P02</x:v>
      </x:c>
    </x:row>
    <x:row r="11">
      <x:c r="A11" s="28" t="str">
        <x:v>m_wet_biomass_kg_FU</x:v>
      </x:c>
      <x:c r="B11" s="28" t="str">
        <x:v>((SLR_g_L * V_water_L / 1000) / biochar_yield) * biomass_moisture_factor</x:v>
      </x:c>
      <x:c r="C11" s="28" t="str">
        <x:v>kg/FU</x:v>
      </x:c>
      <x:c r="D11" s="28" t="str">
        <x:v>P04 dependent/calculator</x:v>
      </x:c>
      <x:c r="E11" s="28" t="str">
        <x:v>Wet biomass demand after scaling P01</x:v>
      </x:c>
    </x:row>
    <x:row r="12">
      <x:c r="A12" s="28" t="str">
        <x:v>m_CaCl2_kg</x:v>
      </x:c>
      <x:c r="B12" s="28" t="str">
        <x:v>CaCl2_mM * 0.001 * V_water_L * 0.11098</x:v>
      </x:c>
      <x:c r="C12" s="28" t="str">
        <x:v>kg/FU</x:v>
      </x:c>
      <x:c r="D12" s="28" t="str">
        <x:v>P04 dependent</x:v>
      </x:c>
      <x:c r="E12" s="28" t="str">
        <x:v>P04 input linked to P07</x:v>
      </x:c>
    </x:row>
    <x:row r="13">
      <x:c r="A13" s="28" t="str">
        <x:v>m_NaCl_kg</x:v>
      </x:c>
      <x:c r="B13" s="28" t="str">
        <x:v>NaCl_mM * 0.001 * V_water_L * 0.05844</x:v>
      </x:c>
      <x:c r="C13" s="28" t="str">
        <x:v>kg/FU</x:v>
      </x:c>
      <x:c r="D13" s="28" t="str">
        <x:v>P04 dependent</x:v>
      </x:c>
      <x:c r="E13" s="28" t="str">
        <x:v>P04 input</x:v>
      </x:c>
    </x:row>
    <x:row r="14">
      <x:c r="A14" s="28" t="str">
        <x:v>m_humic_kg</x:v>
      </x:c>
      <x:c r="B14" s="28" t="str">
        <x:v>humic_mg_L * V_water_L * 0.000001</x:v>
      </x:c>
      <x:c r="C14" s="28" t="str">
        <x:v>kg/FU</x:v>
      </x:c>
      <x:c r="D14" s="28" t="str">
        <x:v>P04 dependent</x:v>
      </x:c>
      <x:c r="E14" s="28" t="str">
        <x:v>P04 input</x:v>
      </x:c>
    </x:row>
    <x:row r="15">
      <x:c r="A15" s="28" t="str">
        <x:v>adsorption_elec_kWh</x:v>
      </x:c>
      <x:c r="B15" s="28" t="str">
        <x:v>adsorption_elec_kWh_m3_h * V_water_m3 * t_ads_min / 60</x:v>
      </x:c>
      <x:c r="C15" s="28" t="str">
        <x:v>kWh/FU</x:v>
      </x:c>
      <x:c r="D15" s="28" t="str">
        <x:v>P04 dependent</x:v>
      </x:c>
      <x:c r="E15" s="28" t="str">
        <x:v>P04 electricity input</x:v>
      </x:c>
    </x:row>
    <x:row r="16">
      <x:c r="A16" s="28" t="str">
        <x:v>m_filter_media_kg</x:v>
      </x:c>
      <x:c r="B16" s="28" t="str">
        <x:v>filter_media_kg_m3 * V_water_m3</x:v>
      </x:c>
      <x:c r="C16" s="28" t="str">
        <x:v>kg/FU</x:v>
      </x:c>
      <x:c r="D16" s="28" t="str">
        <x:v>P04 dependent</x:v>
      </x:c>
      <x:c r="E16" s="28" t="str">
        <x:v>P04 filter media input</x:v>
      </x:c>
    </x:row>
    <x:row r="17">
      <x:c r="A17" s="28" t="str">
        <x:v>m_ash_residue_kg</x:v>
      </x:c>
      <x:c r="B17" s="28" t="str">
        <x:v>m_spent_biochar_kg * ash_fraction_spent</x:v>
      </x:c>
      <x:c r="C17" s="28" t="str">
        <x:v>kg/FU</x:v>
      </x:c>
      <x:c r="D17" s="28" t="str">
        <x:v>P05 dependent/calculator</x:v>
      </x:c>
      <x:c r="E17" s="28" t="str">
        <x:v>P05 ash output; expand formula if needed</x:v>
      </x:c>
    </x:row>
    <x:row r="22">
      <x:c r="A22" s="24" t="str">
        <x:v>Cost dependent</x:v>
      </x:c>
      <x:c r="B22" s="24" t="str">
        <x:v>Formula</x:v>
      </x:c>
      <x:c r="C22" s="24" t="str">
        <x:v>Unit</x:v>
      </x:c>
      <x:c r="D22" s="24" t="str">
        <x:v>Recommended location</x:v>
      </x:c>
      <x:c r="E22" s="24" t="str">
        <x:v>Purpose</x:v>
      </x:c>
    </x:row>
    <x:row r="23">
      <x:c r="A23" s="28" t="str">
        <x:v>cost_p01_USD</x:v>
      </x:c>
      <x:c r="B23" s="28" t="str">
        <x:v>m_dry_biomass_kg_FU * (biomass_moisture_factor * price_wet_biomass_USD_kg + prep_elec_kWh_kgDry * price_electricity_USD_kWh + prep_heat_MJ_kgDry * price_heat_USD_MJ + biomass_moisture_factor * biomass_transport_km / 1000 * price_transport_USD_tkm)</x:v>
      </x:c>
      <x:c r="C23" s="28" t="str">
        <x:v>USD/FU</x:v>
      </x:c>
      <x:c r="D23" s="28" t="str">
        <x:v>External LCC or P04 dependent</x:v>
      </x:c>
      <x:c r="E23" s="28" t="str">
        <x:v>Biomass preparation cost</x:v>
      </x:c>
    </x:row>
    <x:row r="24">
      <x:c r="A24" s="28" t="str">
        <x:v>cost_p02_USD</x:v>
      </x:c>
      <x:c r="B24" s="28" t="str">
        <x:v>m_biochar_kg * (pyrolysis_elec_kWh_kgBC * price_electricity_USD_kWh + pyrolysis_heat_MJ_kgBC * price_heat_USD_MJ + N2_kg_kgBC * price_N2_USD_kg)</x:v>
      </x:c>
      <x:c r="C24" s="28" t="str">
        <x:v>USD/FU</x:v>
      </x:c>
      <x:c r="D24" s="28" t="str">
        <x:v>External LCC or P04 dependent</x:v>
      </x:c>
      <x:c r="E24" s="28" t="str">
        <x:v>Pyrolysis utilities/gas cost</x:v>
      </x:c>
    </x:row>
    <x:row r="25">
      <x:c r="A25" s="28" t="str">
        <x:v>cost_p03_USD</x:v>
      </x:c>
      <x:c r="B25" s="28" t="str">
        <x:v>m_biochar_kg * (wash_water_kg_kgBC * price_water_USD_kg + washing_elec_kWh_kgBC * price_electricity_USD_kWh + washing_heat_MJ_kgBC * price_heat_USD_MJ + KOH_kg_kgBC * price_KOH_USD_kg + HCl_kg_kgBC * price_HCl_USD_kg + FeCl3_kg_kgBC * price_FeCl3_USD_kg + urea_kg_kgBC * price_urea_USD_kg + wash_water_kg_kgBC / 1000 * price_wastewater_USD_m3)</x:v>
      </x:c>
      <x:c r="C25" s="28" t="str">
        <x:v>USD/FU</x:v>
      </x:c>
      <x:c r="D25" s="28" t="str">
        <x:v>External LCC or P04 dependent</x:v>
      </x:c>
      <x:c r="E25" s="28" t="str">
        <x:v>Washing/modification cost</x:v>
      </x:c>
    </x:row>
    <x:row r="26">
      <x:c r="A26" s="28" t="str">
        <x:v>cost_p04_USD</x:v>
      </x:c>
      <x:c r="B26" s="28" t="str">
        <x:v>adsorption_elec_kWh * price_electricity_USD_kWh + m_CaCl2_kg * price_CaCl2_USD_kg + m_NaCl_kg * price_NaCl_USD_kg + m_humic_kg * price_humic_USD_kg + m_filter_media_kg * price_filter_media_USD_kg</x:v>
      </x:c>
      <x:c r="C26" s="28" t="str">
        <x:v>USD/FU</x:v>
      </x:c>
      <x:c r="D26" s="28" t="str">
        <x:v>External LCC or P04 dependent</x:v>
      </x:c>
      <x:c r="E26" s="28" t="str">
        <x:v>Direct adsorption operation cost</x:v>
      </x:c>
    </x:row>
    <x:row r="27">
      <x:c r="A27" s="28" t="str">
        <x:v>cost_p05_USD</x:v>
      </x:c>
      <x:c r="B27" s="28" t="str">
        <x:v>m_spent_biochar_kg * price_incin_USD_kg</x:v>
      </x:c>
      <x:c r="C27" s="28" t="str">
        <x:v>USD/FU</x:v>
      </x:c>
      <x:c r="D27" s="28" t="str">
        <x:v>External LCC or P04 dependent</x:v>
      </x:c>
      <x:c r="E27" s="28" t="str">
        <x:v>Incineration cost</x:v>
      </x:c>
    </x:row>
    <x:row r="28">
      <x:c r="A28" s="28" t="str">
        <x:v>cost_p06_USD</x:v>
      </x:c>
      <x:c r="B28" s="28" t="str">
        <x:v>m_spent_biochar_kg * price_landfill_USD_kg</x:v>
      </x:c>
      <x:c r="C28" s="28" t="str">
        <x:v>USD/FU</x:v>
      </x:c>
      <x:c r="D28" s="28" t="str">
        <x:v>External LCC or P04 dependent</x:v>
      </x:c>
      <x:c r="E28" s="28" t="str">
        <x:v>Landfill cost</x:v>
      </x:c>
    </x:row>
    <x:row r="29">
      <x:c r="A29" s="28" t="str">
        <x:v>LCC_total_incin_USD_m3</x:v>
      </x:c>
      <x:c r="B29" s="28" t="str">
        <x:v>cost_p01_USD + cost_p02_USD + cost_p03_USD + cost_p04_USD + cost_p05_USD</x:v>
      </x:c>
      <x:c r="C29" s="28" t="str">
        <x:v>USD/m3</x:v>
      </x:c>
      <x:c r="D29" s="28" t="str">
        <x:v>External LCC objective</x:v>
      </x:c>
      <x:c r="E29" s="28" t="str">
        <x:v>Use with P05 product system</x:v>
      </x:c>
    </x:row>
    <x:row r="30">
      <x:c r="A30" s="28" t="str">
        <x:v>LCC_total_landfill_USD_m3</x:v>
      </x:c>
      <x:c r="B30" s="28" t="str">
        <x:v>cost_p01_USD + cost_p02_USD + cost_p03_USD + cost_p04_USD + cost_p06_USD</x:v>
      </x:c>
      <x:c r="C30" s="28" t="str">
        <x:v>USD/m3</x:v>
      </x:c>
      <x:c r="D30" s="28" t="str">
        <x:v>External LCC objective</x:v>
      </x:c>
      <x:c r="E30" s="28" t="str">
        <x:v>Use with P06 product system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2" hidden="0" customWidth="1"/>
    <x:col min="3" max="3" width="12" hidden="0" customWidth="1"/>
    <x:col min="4" max="4" width="30" hidden="0" customWidth="1"/>
    <x:col min="5" max="5" width="65" hidden="0" customWidth="1"/>
  </x:cols>
  <x:sheetData>
    <x:row r="1" ht="28" customHeight="1">
      <x:c r="A1" s="50" t="str">
        <x:v>Custom Flows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Create these foreground flows and link them exactly with the same names across processes.</x:v>
      </x:c>
    </x:row>
    <x:row r="4">
      <x:c r="A4" s="24" t="str">
        <x:v>Flow</x:v>
      </x:c>
      <x:c r="B4" s="24" t="str">
        <x:v>Flow type</x:v>
      </x:c>
      <x:c r="C4" s="24" t="str">
        <x:v>Unit</x:v>
      </x:c>
      <x:c r="D4" s="24" t="str">
        <x:v>Where used</x:v>
      </x:c>
      <x:c r="E4" s="24" t="str">
        <x:v>Provider / modelling note</x:v>
      </x:c>
    </x:row>
    <x:row r="5">
      <x:c r="A5" s="28" t="str">
        <x:v>PFAS-contaminated water</x:v>
      </x:c>
      <x:c r="B5" s="28" t="str">
        <x:v>Product flow</x:v>
      </x:c>
      <x:c r="C5" s="28" t="str">
        <x:v>m3</x:v>
      </x:c>
      <x:c r="D5" s="28" t="str">
        <x:v>P04 input</x:v>
      </x:c>
      <x:c r="E5" s="28" t="str">
        <x:v>No provider/cut-off unless water supply is inside boundary</x:v>
      </x:c>
    </x:row>
    <x:row r="6">
      <x:c r="A6" s="28" t="str">
        <x:v>Treated water</x:v>
      </x:c>
      <x:c r="B6" s="28" t="str">
        <x:v>Product flow</x:v>
      </x:c>
      <x:c r="C6" s="28" t="str">
        <x:v>m3</x:v>
      </x:c>
      <x:c r="D6" s="28" t="str">
        <x:v>P04 reference output</x:v>
      </x:c>
      <x:c r="E6" s="28" t="str">
        <x:v>Create product system from this flow</x:v>
      </x:c>
    </x:row>
    <x:row r="7">
      <x:c r="A7" s="28" t="str">
        <x:v>Wet biomass residue</x:v>
      </x:c>
      <x:c r="B7" s="28" t="str">
        <x:v>Product flow</x:v>
      </x:c>
      <x:c r="C7" s="28" t="str">
        <x:v>kg</x:v>
      </x:c>
      <x:c r="D7" s="28" t="str">
        <x:v>P01 input</x:v>
      </x:c>
      <x:c r="E7" s="28" t="str">
        <x:v>ELCD/proxy or cut-off waste biomass</x:v>
      </x:c>
    </x:row>
    <x:row r="8">
      <x:c r="A8" s="28" t="str">
        <x:v>Prepared dry biomass</x:v>
      </x:c>
      <x:c r="B8" s="28" t="str">
        <x:v>Product flow</x:v>
      </x:c>
      <x:c r="C8" s="28" t="str">
        <x:v>kg</x:v>
      </x:c>
      <x:c r="D8" s="28" t="str">
        <x:v>P01 output / P02 input</x:v>
      </x:c>
      <x:c r="E8" s="28" t="str">
        <x:v>Foreground intermediate - no cost at P02</x:v>
      </x:c>
    </x:row>
    <x:row r="9">
      <x:c r="A9" s="28" t="str">
        <x:v>Raw biochar</x:v>
      </x:c>
      <x:c r="B9" s="28" t="str">
        <x:v>Product flow</x:v>
      </x:c>
      <x:c r="C9" s="28" t="str">
        <x:v>kg</x:v>
      </x:c>
      <x:c r="D9" s="28" t="str">
        <x:v>P02 output / P03 input</x:v>
      </x:c>
      <x:c r="E9" s="28" t="str">
        <x:v>Foreground intermediate - no cost at P03</x:v>
      </x:c>
    </x:row>
    <x:row r="10">
      <x:c r="A10" s="28" t="str">
        <x:v>Usable biochar</x:v>
      </x:c>
      <x:c r="B10" s="28" t="str">
        <x:v>Product flow</x:v>
      </x:c>
      <x:c r="C10" s="28" t="str">
        <x:v>kg</x:v>
      </x:c>
      <x:c r="D10" s="28" t="str">
        <x:v>P03 output / P04 input</x:v>
      </x:c>
      <x:c r="E10" s="28" t="str">
        <x:v>Foreground intermediate - no cost at P04</x:v>
      </x:c>
    </x:row>
    <x:row r="11">
      <x:c r="A11" s="28" t="str">
        <x:v>Spent PFAS-loaded biochar</x:v>
      </x:c>
      <x:c r="B11" s="28" t="str">
        <x:v>Waste/product flow</x:v>
      </x:c>
      <x:c r="C11" s="28" t="str">
        <x:v>kg</x:v>
      </x:c>
      <x:c r="D11" s="28" t="str">
        <x:v>P04 output / P05 or P06 input</x:v>
      </x:c>
      <x:c r="E11" s="28" t="str">
        <x:v>Waste treatment provider selected in product system</x:v>
      </x:c>
    </x:row>
    <x:row r="12">
      <x:c r="A12" s="28" t="str">
        <x:v>Calcium chloride, proxy, anhydrous equivalent</x:v>
      </x:c>
      <x:c r="B12" s="28" t="str">
        <x:v>Product flow</x:v>
      </x:c>
      <x:c r="C12" s="28" t="str">
        <x:v>kg</x:v>
      </x:c>
      <x:c r="D12" s="28" t="str">
        <x:v>P07 output / P04 input</x:v>
      </x:c>
      <x:c r="E12" s="28" t="str">
        <x:v>Create P07 proxy when ELCD lacks CaCl2</x:v>
      </x:c>
    </x:row>
    <x:row r="13">
      <x:c r="A13" s="28" t="str">
        <x:v>Sodium chloride</x:v>
      </x:c>
      <x:c r="B13" s="28" t="str">
        <x:v>Product flow</x:v>
      </x:c>
      <x:c r="C13" s="28" t="str">
        <x:v>kg</x:v>
      </x:c>
      <x:c r="D13" s="28" t="str">
        <x:v>P04 input</x:v>
      </x:c>
      <x:c r="E13" s="28" t="str">
        <x:v>ELCD/proxy</x:v>
      </x:c>
    </x:row>
    <x:row r="14">
      <x:c r="A14" s="28" t="str">
        <x:v>Humic acid proxy / organic matter</x:v>
      </x:c>
      <x:c r="B14" s="28" t="str">
        <x:v>Product flow</x:v>
      </x:c>
      <x:c r="C14" s="28" t="str">
        <x:v>kg</x:v>
      </x:c>
      <x:c r="D14" s="28" t="str">
        <x:v>P04 input</x:v>
      </x:c>
      <x:c r="E14" s="28" t="str">
        <x:v>Optional; often zero</x:v>
      </x:c>
    </x:row>
    <x:row r="15">
      <x:c r="A15" s="28" t="str">
        <x:v>Filter media</x:v>
      </x:c>
      <x:c r="B15" s="28" t="str">
        <x:v>Product flow</x:v>
      </x:c>
      <x:c r="C15" s="28" t="str">
        <x:v>kg</x:v>
      </x:c>
      <x:c r="D15" s="28" t="str">
        <x:v>P04 input</x:v>
      </x:c>
      <x:c r="E15" s="28" t="str">
        <x:v>Optional</x:v>
      </x:c>
    </x:row>
    <x:row r="16">
      <x:c r="A16" s="28" t="str">
        <x:v>PFOA/PFAS residual to water</x:v>
      </x:c>
      <x:c r="B16" s="28" t="str">
        <x:v>Elementary flow</x:v>
      </x:c>
      <x:c r="C16" s="28" t="str">
        <x:v>kg</x:v>
      </x:c>
      <x:c r="D16" s="28" t="str">
        <x:v>P04 output</x:v>
      </x:c>
      <x:c r="E16" s="28" t="str">
        <x:v>Inventory/performance; ReCiPe may not characterize PFAS</x:v>
      </x:c>
    </x:row>
    <x:row r="17">
      <x:c r="A17" s="28" t="str">
        <x:v>PFAS captured on biochar</x:v>
      </x:c>
      <x:c r="B17" s="28" t="str">
        <x:v>Product/indicator flow</x:v>
      </x:c>
      <x:c r="C17" s="28" t="str">
        <x:v>kg</x:v>
      </x:c>
      <x:c r="D17" s="28" t="str">
        <x:v>P04 output</x:v>
      </x:c>
      <x:c r="E17" s="28" t="str">
        <x:v>Use for mass-balance KPI</x:v>
      </x:c>
    </x:row>
    <x:row r="18">
      <x:c r="A18" s="28" t="str">
        <x:v>Carbon dioxide, to air</x:v>
      </x:c>
      <x:c r="B18" s="28" t="str">
        <x:v>Elementary flow</x:v>
      </x:c>
      <x:c r="C18" s="28" t="str">
        <x:v>kg</x:v>
      </x:c>
      <x:c r="D18" s="28" t="str">
        <x:v>P07 output</x:v>
      </x:c>
      <x:c r="E18" s="28" t="str">
        <x:v>Stoichiometric emission from CaCl2 proxy reaction</x:v>
      </x:c>
    </x:row>
    <x:row r="19">
      <x:c r="A19" s="28" t="str">
        <x:v>Washing wastewater</x:v>
      </x:c>
      <x:c r="B19" s="28" t="str">
        <x:v>Waste flow</x:v>
      </x:c>
      <x:c r="C19" s="28" t="str">
        <x:v>m3</x:v>
      </x:c>
      <x:c r="D19" s="28" t="str">
        <x:v>P03 output</x:v>
      </x:c>
      <x:c r="E19" s="28" t="str">
        <x:v>Link to wastewater treatment or cost as service</x:v>
      </x:c>
    </x:row>
    <x:row r="20">
      <x:c r="A20" s="28" t="str">
        <x:v>Inorganic wastewater</x:v>
      </x:c>
      <x:c r="B20" s="28" t="str">
        <x:v>Waste flow</x:v>
      </x:c>
      <x:c r="C20" s="28" t="str">
        <x:v>m3</x:v>
      </x:c>
      <x:c r="D20" s="28" t="str">
        <x:v>P07 output</x:v>
      </x:c>
      <x:c r="E20" s="28" t="str">
        <x:v>Optional wastewater treatment service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2" hidden="0" customWidth="1"/>
    <x:col min="4" max="4" width="20" hidden="0" customWidth="1"/>
    <x:col min="5" max="5" width="65" hidden="0" customWidth="1"/>
    <x:col min="6" max="6" width="28" hidden="0" customWidth="1"/>
    <x:col min="7" max="7" width="50" hidden="0" customWidth="1"/>
  </x:cols>
  <x:sheetData>
    <x:row r="1" ht="28" customHeight="1">
      <x:c r="A1" s="50" t="str">
        <x:v>Process Overview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P04 is the reference process. P05/P06 are included through P04 spent biochar output, and P07 through P04 CaCl2 input.</x:v>
      </x:c>
    </x:row>
    <x:row r="4">
      <x:c r="A4" s="24" t="str">
        <x:v>ID</x:v>
      </x:c>
      <x:c r="B4" s="24" t="str">
        <x:v>Process</x:v>
      </x:c>
      <x:c r="C4" s="24" t="str">
        <x:v>Reference flow</x:v>
      </x:c>
      <x:c r="D4" s="24" t="str">
        <x:v>Reference amount</x:v>
      </x:c>
      <x:c r="E4" s="24" t="str">
        <x:v>Function</x:v>
      </x:c>
      <x:c r="F4" s="24" t="str">
        <x:v>Position</x:v>
      </x:c>
      <x:c r="G4" s="24" t="str">
        <x:v>Linking role</x:v>
      </x:c>
    </x:row>
    <x:row r="5">
      <x:c r="A5" s="28" t="str">
        <x:v>P01</x:v>
      </x:c>
      <x:c r="B5" s="28" t="str">
        <x:v>Biomass collection and preparation</x:v>
      </x:c>
      <x:c r="C5" s="28" t="str">
        <x:v>Prepared dry biomass</x:v>
      </x:c>
      <x:c r="D5" s="28" t="str">
        <x:v>1 kg</x:v>
      </x:c>
      <x:c r="E5" s="28" t="str">
        <x:v>Drying, grinding/sieving, biomass transport</x:v>
      </x:c>
      <x:c r="F5" s="28" t="str">
        <x:v>Upstream foreground</x:v>
      </x:c>
      <x:c r="G5" s="28" t="str">
        <x:v>Supplies P02</x:v>
      </x:c>
    </x:row>
    <x:row r="6">
      <x:c r="A6" s="28" t="str">
        <x:v>P02</x:v>
      </x:c>
      <x:c r="B6" s="28" t="str">
        <x:v>Biochar production by pyrolysis</x:v>
      </x:c>
      <x:c r="C6" s="28" t="str">
        <x:v>Raw biochar</x:v>
      </x:c>
      <x:c r="D6" s="28" t="str">
        <x:v>1 kg</x:v>
      </x:c>
      <x:c r="E6" s="28" t="str">
        <x:v>Dry biomass -&gt; raw biochar with heat/electricity/N2</x:v>
      </x:c>
      <x:c r="F6" s="28" t="str">
        <x:v>Upstream foreground</x:v>
      </x:c>
      <x:c r="G6" s="28" t="str">
        <x:v>Supplies P03</x:v>
      </x:c>
    </x:row>
    <x:row r="7">
      <x:c r="A7" s="28" t="str">
        <x:v>P03</x:v>
      </x:c>
      <x:c r="B7" s="28" t="str">
        <x:v>Biochar washing / modification</x:v>
      </x:c>
      <x:c r="C7" s="28" t="str">
        <x:v>Usable biochar</x:v>
      </x:c>
      <x:c r="D7" s="28" t="str">
        <x:v>1 kg</x:v>
      </x:c>
      <x:c r="E7" s="28" t="str">
        <x:v>Washing, drying, optional activation/modification</x:v>
      </x:c>
      <x:c r="F7" s="28" t="str">
        <x:v>Upstream foreground</x:v>
      </x:c>
      <x:c r="G7" s="28" t="str">
        <x:v>Supplies P04</x:v>
      </x:c>
    </x:row>
    <x:row r="8">
      <x:c r="A8" s="28" t="str">
        <x:v>P04</x:v>
      </x:c>
      <x:c r="B8" s="28" t="str">
        <x:v>PFAS adsorption treatment with biochar</x:v>
      </x:c>
      <x:c r="C8" s="28" t="str">
        <x:v>Treated water</x:v>
      </x:c>
      <x:c r="D8" s="28" t="str">
        <x:v>1 m3</x:v>
      </x:c>
      <x:c r="E8" s="28" t="str">
        <x:v>Functional unit process; uses platform parameters and PKL RE_pred</x:v>
      </x:c>
      <x:c r="F8" s="28" t="str">
        <x:v>Reference process</x:v>
      </x:c>
      <x:c r="G8" s="28" t="str">
        <x:v>Create product system here</x:v>
      </x:c>
    </x:row>
    <x:row r="9">
      <x:c r="A9" s="28" t="str">
        <x:v>P05</x:v>
      </x:c>
      <x:c r="B9" s="28" t="str">
        <x:v>Spent biochar incineration</x:v>
      </x:c>
      <x:c r="C9" s="28" t="str">
        <x:v>Waste treatment of spent biochar</x:v>
      </x:c>
      <x:c r="D9" s="28" t="str">
        <x:v>1 kg input</x:v>
      </x:c>
      <x:c r="E9" s="28" t="str">
        <x:v>Base end-of-life scenario</x:v>
      </x:c>
      <x:c r="F9" s="28" t="str">
        <x:v>Downstream waste treatment</x:v>
      </x:c>
      <x:c r="G9" s="28" t="str">
        <x:v>Linked from P04 spent biochar output</x:v>
      </x:c>
    </x:row>
    <x:row r="10">
      <x:c r="A10" s="28" t="str">
        <x:v>P06</x:v>
      </x:c>
      <x:c r="B10" s="28" t="str">
        <x:v>Spent biochar landfill sensitivity</x:v>
      </x:c>
      <x:c r="C10" s="28" t="str">
        <x:v>Waste treatment of spent biochar</x:v>
      </x:c>
      <x:c r="D10" s="28" t="str">
        <x:v>1 kg input</x:v>
      </x:c>
      <x:c r="E10" s="28" t="str">
        <x:v>Alternative sensitivity scenario</x:v>
      </x:c>
      <x:c r="F10" s="28" t="str">
        <x:v>Downstream waste treatment</x:v>
      </x:c>
      <x:c r="G10" s="28" t="str">
        <x:v>Linked from P04 spent biochar output instead of P05</x:v>
      </x:c>
    </x:row>
    <x:row r="11">
      <x:c r="A11" s="28" t="str">
        <x:v>P07</x:v>
      </x:c>
      <x:c r="B11" s="28" t="str">
        <x:v>Calcium chloride production proxy</x:v>
      </x:c>
      <x:c r="C11" s="28" t="str">
        <x:v>Calcium chloride proxy</x:v>
      </x:c>
      <x:c r="D11" s="28" t="str">
        <x:v>1 kg</x:v>
      </x:c>
      <x:c r="E11" s="28" t="str">
        <x:v>Proxy reaction CaCO3 + 2HCl -&gt; CaCl2 + CO2 + H2O</x:v>
      </x:c>
      <x:c r="F11" s="28" t="str">
        <x:v>Upstream chemical supplier</x:v>
      </x:c>
      <x:c r="G11" s="28" t="str">
        <x:v>Linked to P04 CaCl2 input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8" hidden="0" customWidth="1"/>
    <x:col min="4" max="4" width="55" hidden="0" customWidth="1"/>
    <x:col min="5" max="5" width="12" hidden="0" customWidth="1"/>
    <x:col min="6" max="6" width="45" hidden="0" customWidth="1"/>
    <x:col min="7" max="7" width="16" hidden="0" customWidth="1"/>
    <x:col min="8" max="8" width="75" hidden="0" customWidth="1"/>
  </x:cols>
  <x:sheetData>
    <x:row r="1" ht="28" customHeight="1">
      <x:c r="A1" s="50" t="str">
        <x:v>P01-P03 Exchanges and Cost Links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Unit processes upstream of P04. Costs attach only to purchased inputs/services, not foreground intermediates.</x:v>
      </x:c>
    </x:row>
    <x:row r="4">
      <x:c r="A4" s="24" t="str">
        <x:v>Process</x:v>
      </x:c>
      <x:c r="B4" s="24" t="str">
        <x:v>Direction</x:v>
      </x:c>
      <x:c r="C4" s="24" t="str">
        <x:v>Flow</x:v>
      </x:c>
      <x:c r="D4" s="24" t="str">
        <x:v>Amount/formula in openLCA</x:v>
      </x:c>
      <x:c r="E4" s="24" t="str">
        <x:v>Unit</x:v>
      </x:c>
      <x:c r="F4" s="24" t="str">
        <x:v>Provider / treatment</x:v>
      </x:c>
      <x:c r="G4" s="24" t="str">
        <x:v>Attach cost?</x:v>
      </x:c>
      <x:c r="H4" s="24" t="str">
        <x:v>Cost formula / note</x:v>
      </x:c>
    </x:row>
    <x:row r="5">
      <x:c r="A5" s="28" t="str">
        <x:v>P01</x:v>
      </x:c>
      <x:c r="B5" s="28" t="str">
        <x:v>Input</x:v>
      </x:c>
      <x:c r="C5" s="28" t="str">
        <x:v>Wet biomass residue</x:v>
      </x:c>
      <x:c r="D5" s="28" t="str">
        <x:v>biomass_moisture_factor</x:v>
      </x:c>
      <x:c r="E5" s="28" t="str">
        <x:v>kg</x:v>
      </x:c>
      <x:c r="F5" s="28" t="str">
        <x:v>ELCD/proxy biomass or cut-off</x:v>
      </x:c>
      <x:c r="G5" s="28" t="str">
        <x:v>YES</x:v>
      </x:c>
      <x:c r="H5" s="28" t="str">
        <x:v>biomass_moisture_factor * price_wet_biomass_USD_kg</x:v>
      </x:c>
    </x:row>
    <x:row r="6">
      <x:c r="A6" s="28" t="str">
        <x:v>P01</x:v>
      </x:c>
      <x:c r="B6" s="28" t="str">
        <x:v>Input</x:v>
      </x:c>
      <x:c r="C6" s="28" t="str">
        <x:v>Electricity, grid mix</x:v>
      </x:c>
      <x:c r="D6" s="28" t="str">
        <x:v>prep_elec_kWh_kgDry</x:v>
      </x:c>
      <x:c r="E6" s="28" t="str">
        <x:v>kWh</x:v>
      </x:c>
      <x:c r="F6" s="28" t="str">
        <x:v>ELCD electricity</x:v>
      </x:c>
      <x:c r="G6" s="28" t="str">
        <x:v>YES</x:v>
      </x:c>
      <x:c r="H6" s="28" t="str">
        <x:v>prep_elec_kWh_kgDry * price_electricity_USD_kWh</x:v>
      </x:c>
    </x:row>
    <x:row r="7">
      <x:c r="A7" s="28" t="str">
        <x:v>P01</x:v>
      </x:c>
      <x:c r="B7" s="28" t="str">
        <x:v>Input</x:v>
      </x:c>
      <x:c r="C7" s="28" t="str">
        <x:v>Heat, natural gas</x:v>
      </x:c>
      <x:c r="D7" s="28" t="str">
        <x:v>prep_heat_MJ_kgDry</x:v>
      </x:c>
      <x:c r="E7" s="28" t="str">
        <x:v>MJ</x:v>
      </x:c>
      <x:c r="F7" s="28" t="str">
        <x:v>ELCD heat/natural gas</x:v>
      </x:c>
      <x:c r="G7" s="28" t="str">
        <x:v>YES</x:v>
      </x:c>
      <x:c r="H7" s="28" t="str">
        <x:v>prep_heat_MJ_kgDry * price_heat_USD_MJ</x:v>
      </x:c>
    </x:row>
    <x:row r="8">
      <x:c r="A8" s="28" t="str">
        <x:v>P01</x:v>
      </x:c>
      <x:c r="B8" s="28" t="str">
        <x:v>Input</x:v>
      </x:c>
      <x:c r="C8" s="28" t="str">
        <x:v>Transport, lorry</x:v>
      </x:c>
      <x:c r="D8" s="28" t="str">
        <x:v>biomass_moisture_factor * biomass_transport_km / 1000</x:v>
      </x:c>
      <x:c r="E8" s="28" t="str">
        <x:v>tkm</x:v>
      </x:c>
      <x:c r="F8" s="28" t="str">
        <x:v>ELCD truck transport</x:v>
      </x:c>
      <x:c r="G8" s="28" t="str">
        <x:v>YES</x:v>
      </x:c>
      <x:c r="H8" s="28" t="str">
        <x:v>amount * price_transport_USD_tkm</x:v>
      </x:c>
    </x:row>
    <x:row r="9">
      <x:c r="A9" s="28" t="str">
        <x:v>P01</x:v>
      </x:c>
      <x:c r="B9" s="28" t="str">
        <x:v>Output</x:v>
      </x:c>
      <x:c r="C9" s="28" t="str">
        <x:v>Prepared dry biomass</x:v>
      </x:c>
      <x:c r="D9" s="28" t="str">
        <x:v>1</x:v>
      </x:c>
      <x:c r="E9" s="28" t="str">
        <x:v>kg</x:v>
      </x:c>
      <x:c r="F9" s="28" t="str">
        <x:v>Reference output</x:v>
      </x:c>
      <x:c r="G9" s="28" t="str">
        <x:v>NO</x:v>
      </x:c>
      <x:c r="H9" s="28" t="str">
        <x:v>No revenue/cost unless modelling sale of dry biomass</x:v>
      </x:c>
    </x:row>
    <x:row r="10">
      <x:c r="A10" s="28" t="str">
        <x:v>P02</x:v>
      </x:c>
      <x:c r="B10" s="28" t="str">
        <x:v>Input</x:v>
      </x:c>
      <x:c r="C10" s="28" t="str">
        <x:v>Prepared dry biomass</x:v>
      </x:c>
      <x:c r="D10" s="28" t="str">
        <x:v>1 / biochar_yield</x:v>
      </x:c>
      <x:c r="E10" s="28" t="str">
        <x:v>kg</x:v>
      </x:c>
      <x:c r="F10" s="28" t="str">
        <x:v>P01</x:v>
      </x:c>
      <x:c r="G10" s="28" t="str">
        <x:v>NO</x:v>
      </x:c>
      <x:c r="H10" s="28" t="str">
        <x:v>Intermediate foreground input; P01 carries the cost</x:v>
      </x:c>
    </x:row>
    <x:row r="11">
      <x:c r="A11" s="28" t="str">
        <x:v>P02</x:v>
      </x:c>
      <x:c r="B11" s="28" t="str">
        <x:v>Input</x:v>
      </x:c>
      <x:c r="C11" s="28" t="str">
        <x:v>Electricity, grid mix</x:v>
      </x:c>
      <x:c r="D11" s="28" t="str">
        <x:v>pyrolysis_elec_kWh_kgBC</x:v>
      </x:c>
      <x:c r="E11" s="28" t="str">
        <x:v>kWh</x:v>
      </x:c>
      <x:c r="F11" s="28" t="str">
        <x:v>ELCD electricity</x:v>
      </x:c>
      <x:c r="G11" s="28" t="str">
        <x:v>YES</x:v>
      </x:c>
      <x:c r="H11" s="28" t="str">
        <x:v>pyrolysis_elec_kWh_kgBC * price_electricity_USD_kWh</x:v>
      </x:c>
    </x:row>
    <x:row r="12">
      <x:c r="A12" s="28" t="str">
        <x:v>P02</x:v>
      </x:c>
      <x:c r="B12" s="28" t="str">
        <x:v>Input</x:v>
      </x:c>
      <x:c r="C12" s="28" t="str">
        <x:v>Heat, natural gas</x:v>
      </x:c>
      <x:c r="D12" s="28" t="str">
        <x:v>pyrolysis_heat_MJ_kgBC</x:v>
      </x:c>
      <x:c r="E12" s="28" t="str">
        <x:v>MJ</x:v>
      </x:c>
      <x:c r="F12" s="28" t="str">
        <x:v>ELCD heat/natural gas</x:v>
      </x:c>
      <x:c r="G12" s="28" t="str">
        <x:v>YES</x:v>
      </x:c>
      <x:c r="H12" s="28" t="str">
        <x:v>pyrolysis_heat_MJ_kgBC * price_heat_USD_MJ</x:v>
      </x:c>
    </x:row>
    <x:row r="13">
      <x:c r="A13" s="28" t="str">
        <x:v>P02</x:v>
      </x:c>
      <x:c r="B13" s="28" t="str">
        <x:v>Input</x:v>
      </x:c>
      <x:c r="C13" s="28" t="str">
        <x:v>Nitrogen gas</x:v>
      </x:c>
      <x:c r="D13" s="28" t="str">
        <x:v>N2_kg_kgBC</x:v>
      </x:c>
      <x:c r="E13" s="28" t="str">
        <x:v>kg</x:v>
      </x:c>
      <x:c r="F13" s="28" t="str">
        <x:v>ELCD N2 or proxy</x:v>
      </x:c>
      <x:c r="G13" s="28" t="str">
        <x:v>YES</x:v>
      </x:c>
      <x:c r="H13" s="28" t="str">
        <x:v>N2_kg_kgBC * price_N2_USD_kg</x:v>
      </x:c>
    </x:row>
    <x:row r="14">
      <x:c r="A14" s="28" t="str">
        <x:v>P02</x:v>
      </x:c>
      <x:c r="B14" s="28" t="str">
        <x:v>Output</x:v>
      </x:c>
      <x:c r="C14" s="28" t="str">
        <x:v>Raw biochar</x:v>
      </x:c>
      <x:c r="D14" s="28" t="str">
        <x:v>1</x:v>
      </x:c>
      <x:c r="E14" s="28" t="str">
        <x:v>kg</x:v>
      </x:c>
      <x:c r="F14" s="28" t="str">
        <x:v>Reference output</x:v>
      </x:c>
      <x:c r="G14" s="28" t="str">
        <x:v>NO</x:v>
      </x:c>
      <x:c r="H14" s="28" t="str">
        <x:v>No revenue unless modelling biochar sale</x:v>
      </x:c>
    </x:row>
    <x:row r="15">
      <x:c r="A15" s="28" t="str">
        <x:v>P02</x:v>
      </x:c>
      <x:c r="B15" s="28" t="str">
        <x:v>Output</x:v>
      </x:c>
      <x:c r="C15" s="28" t="str">
        <x:v>Pyrolysis gas/condensate</x:v>
      </x:c>
      <x:c r="D15" s="28" t="str">
        <x:v>(1 / biochar_yield) - 1</x:v>
      </x:c>
      <x:c r="E15" s="28" t="str">
        <x:v>kg</x:v>
      </x:c>
      <x:c r="F15" s="28" t="str">
        <x:v>Optional; no credit in base case</x:v>
      </x:c>
      <x:c r="G15" s="28" t="str">
        <x:v>NO</x:v>
      </x:c>
      <x:c r="H15" s="28" t="str">
        <x:v>Avoid allocation/credit unless defined</x:v>
      </x:c>
    </x:row>
    <x:row r="16">
      <x:c r="A16" s="28" t="str">
        <x:v>P03</x:v>
      </x:c>
      <x:c r="B16" s="28" t="str">
        <x:v>Input</x:v>
      </x:c>
      <x:c r="C16" s="28" t="str">
        <x:v>Raw biochar</x:v>
      </x:c>
      <x:c r="D16" s="28" t="str">
        <x:v>1</x:v>
      </x:c>
      <x:c r="E16" s="28" t="str">
        <x:v>kg</x:v>
      </x:c>
      <x:c r="F16" s="28" t="str">
        <x:v>P02</x:v>
      </x:c>
      <x:c r="G16" s="28" t="str">
        <x:v>NO</x:v>
      </x:c>
      <x:c r="H16" s="28" t="str">
        <x:v>Intermediate foreground input; P02 carries the cost</x:v>
      </x:c>
    </x:row>
    <x:row r="17">
      <x:c r="A17" s="28" t="str">
        <x:v>P03</x:v>
      </x:c>
      <x:c r="B17" s="28" t="str">
        <x:v>Input</x:v>
      </x:c>
      <x:c r="C17" s="28" t="str">
        <x:v>Process water</x:v>
      </x:c>
      <x:c r="D17" s="28" t="str">
        <x:v>wash_water_kg_kgBC</x:v>
      </x:c>
      <x:c r="E17" s="28" t="str">
        <x:v>kg</x:v>
      </x:c>
      <x:c r="F17" s="28" t="str">
        <x:v>ELCD water</x:v>
      </x:c>
      <x:c r="G17" s="28" t="str">
        <x:v>YES</x:v>
      </x:c>
      <x:c r="H17" s="28" t="str">
        <x:v>wash_water_kg_kgBC * price_water_USD_kg</x:v>
      </x:c>
    </x:row>
    <x:row r="18">
      <x:c r="A18" s="28" t="str">
        <x:v>P03</x:v>
      </x:c>
      <x:c r="B18" s="28" t="str">
        <x:v>Input</x:v>
      </x:c>
      <x:c r="C18" s="28" t="str">
        <x:v>Electricity, grid mix</x:v>
      </x:c>
      <x:c r="D18" s="28" t="str">
        <x:v>washing_elec_kWh_kgBC</x:v>
      </x:c>
      <x:c r="E18" s="28" t="str">
        <x:v>kWh</x:v>
      </x:c>
      <x:c r="F18" s="28" t="str">
        <x:v>ELCD electricity</x:v>
      </x:c>
      <x:c r="G18" s="28" t="str">
        <x:v>YES</x:v>
      </x:c>
      <x:c r="H18" s="28" t="str">
        <x:v>washing_elec_kWh_kgBC * price_electricity_USD_kWh</x:v>
      </x:c>
    </x:row>
    <x:row r="19">
      <x:c r="A19" s="28" t="str">
        <x:v>P03</x:v>
      </x:c>
      <x:c r="B19" s="28" t="str">
        <x:v>Input</x:v>
      </x:c>
      <x:c r="C19" s="28" t="str">
        <x:v>Heat, natural gas</x:v>
      </x:c>
      <x:c r="D19" s="28" t="str">
        <x:v>washing_heat_MJ_kgBC</x:v>
      </x:c>
      <x:c r="E19" s="28" t="str">
        <x:v>MJ</x:v>
      </x:c>
      <x:c r="F19" s="28" t="str">
        <x:v>ELCD heat/natural gas</x:v>
      </x:c>
      <x:c r="G19" s="28" t="str">
        <x:v>YES</x:v>
      </x:c>
      <x:c r="H19" s="28" t="str">
        <x:v>washing_heat_MJ_kgBC * price_heat_USD_MJ</x:v>
      </x:c>
    </x:row>
    <x:row r="20">
      <x:c r="A20" s="28" t="str">
        <x:v>P03</x:v>
      </x:c>
      <x:c r="B20" s="28" t="str">
        <x:v>Input</x:v>
      </x:c>
      <x:c r="C20" s="28" t="str">
        <x:v>KOH</x:v>
      </x:c>
      <x:c r="D20" s="28" t="str">
        <x:v>KOH_kg_kgBC</x:v>
      </x:c>
      <x:c r="E20" s="28" t="str">
        <x:v>kg</x:v>
      </x:c>
      <x:c r="F20" s="28" t="str">
        <x:v>ELCD/proxy</x:v>
      </x:c>
      <x:c r="G20" s="28" t="str">
        <x:v>YES</x:v>
      </x:c>
      <x:c r="H20" s="28" t="str">
        <x:v>KOH_kg_kgBC * price_KOH_USD_kg</x:v>
      </x:c>
    </x:row>
    <x:row r="21">
      <x:c r="A21" s="28" t="str">
        <x:v>P03</x:v>
      </x:c>
      <x:c r="B21" s="28" t="str">
        <x:v>Input</x:v>
      </x:c>
      <x:c r="C21" s="28" t="str">
        <x:v>HCl</x:v>
      </x:c>
      <x:c r="D21" s="28" t="str">
        <x:v>HCl_kg_kgBC</x:v>
      </x:c>
      <x:c r="E21" s="28" t="str">
        <x:v>kg</x:v>
      </x:c>
      <x:c r="F21" s="28" t="str">
        <x:v>ELCD/proxy</x:v>
      </x:c>
      <x:c r="G21" s="28" t="str">
        <x:v>YES</x:v>
      </x:c>
      <x:c r="H21" s="28" t="str">
        <x:v>HCl_kg_kgBC * price_HCl_USD_kg</x:v>
      </x:c>
    </x:row>
    <x:row r="22">
      <x:c r="A22" s="28" t="str">
        <x:v>P03</x:v>
      </x:c>
      <x:c r="B22" s="28" t="str">
        <x:v>Input</x:v>
      </x:c>
      <x:c r="C22" s="28" t="str">
        <x:v>FeCl3</x:v>
      </x:c>
      <x:c r="D22" s="28" t="str">
        <x:v>FeCl3_kg_kgBC</x:v>
      </x:c>
      <x:c r="E22" s="28" t="str">
        <x:v>kg</x:v>
      </x:c>
      <x:c r="F22" s="28" t="str">
        <x:v>ELCD/proxy</x:v>
      </x:c>
      <x:c r="G22" s="28" t="str">
        <x:v>YES</x:v>
      </x:c>
      <x:c r="H22" s="28" t="str">
        <x:v>FeCl3_kg_kgBC * price_FeCl3_USD_kg</x:v>
      </x:c>
    </x:row>
    <x:row r="23">
      <x:c r="A23" s="28" t="str">
        <x:v>P03</x:v>
      </x:c>
      <x:c r="B23" s="28" t="str">
        <x:v>Input</x:v>
      </x:c>
      <x:c r="C23" s="28" t="str">
        <x:v>Urea</x:v>
      </x:c>
      <x:c r="D23" s="28" t="str">
        <x:v>urea_kg_kgBC</x:v>
      </x:c>
      <x:c r="E23" s="28" t="str">
        <x:v>kg</x:v>
      </x:c>
      <x:c r="F23" s="28" t="str">
        <x:v>ELCD/proxy</x:v>
      </x:c>
      <x:c r="G23" s="28" t="str">
        <x:v>YES</x:v>
      </x:c>
      <x:c r="H23" s="28" t="str">
        <x:v>urea_kg_kgBC * price_urea_USD_kg</x:v>
      </x:c>
    </x:row>
    <x:row r="24">
      <x:c r="A24" s="28" t="str">
        <x:v>P03</x:v>
      </x:c>
      <x:c r="B24" s="28" t="str">
        <x:v>Output</x:v>
      </x:c>
      <x:c r="C24" s="28" t="str">
        <x:v>Usable biochar</x:v>
      </x:c>
      <x:c r="D24" s="28" t="str">
        <x:v>1</x:v>
      </x:c>
      <x:c r="E24" s="28" t="str">
        <x:v>kg</x:v>
      </x:c>
      <x:c r="F24" s="28" t="str">
        <x:v>Reference output</x:v>
      </x:c>
      <x:c r="G24" s="28" t="str">
        <x:v>NO</x:v>
      </x:c>
      <x:c r="H24" s="28" t="str">
        <x:v>P04 should use this without extra purchase cost</x:v>
      </x:c>
    </x:row>
    <x:row r="25">
      <x:c r="A25" s="28" t="str">
        <x:v>P03</x:v>
      </x:c>
      <x:c r="B25" s="28" t="str">
        <x:v>Output</x:v>
      </x:c>
      <x:c r="C25" s="28" t="str">
        <x:v>Washing wastewater</x:v>
      </x:c>
      <x:c r="D25" s="28" t="str">
        <x:v>wash_water_kg_kgBC / 1000</x:v>
      </x:c>
      <x:c r="E25" s="28" t="str">
        <x:v>m3</x:v>
      </x:c>
      <x:c r="F25" s="28" t="str">
        <x:v>ELCD wastewater treatment</x:v>
      </x:c>
      <x:c r="G25" s="28" t="str">
        <x:v>YES</x:v>
      </x:c>
      <x:c r="H25" s="28" t="str">
        <x:v>wash_water_kg_kgBC / 1000 * price_wastewater_USD_m3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8" hidden="0" customWidth="1"/>
    <x:col min="4" max="4" width="55" hidden="0" customWidth="1"/>
    <x:col min="5" max="5" width="12" hidden="0" customWidth="1"/>
    <x:col min="6" max="6" width="45" hidden="0" customWidth="1"/>
    <x:col min="7" max="7" width="16" hidden="0" customWidth="1"/>
    <x:col min="8" max="8" width="75" hidden="0" customWidth="1"/>
  </x:cols>
  <x:sheetData>
    <x:row r="1" ht="28" customHeight="1">
      <x:c r="A1" s="50" t="str">
        <x:v>P04 Reference Process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Create the product system from P04 with reference flow Treated water = 1 m3.</x:v>
      </x:c>
    </x:row>
    <x:row r="4">
      <x:c r="A4" s="24" t="str">
        <x:v>Process</x:v>
      </x:c>
      <x:c r="B4" s="24" t="str">
        <x:v>Direction</x:v>
      </x:c>
      <x:c r="C4" s="24" t="str">
        <x:v>Flow</x:v>
      </x:c>
      <x:c r="D4" s="24" t="str">
        <x:v>Amount/formula in openLCA</x:v>
      </x:c>
      <x:c r="E4" s="24" t="str">
        <x:v>Unit</x:v>
      </x:c>
      <x:c r="F4" s="24" t="str">
        <x:v>Provider / treatment</x:v>
      </x:c>
      <x:c r="G4" s="24" t="str">
        <x:v>Attach cost?</x:v>
      </x:c>
      <x:c r="H4" s="24" t="str">
        <x:v>Cost formula / note</x:v>
      </x:c>
    </x:row>
    <x:row r="5">
      <x:c r="A5" s="28" t="str">
        <x:v>P04</x:v>
      </x:c>
      <x:c r="B5" s="28" t="str">
        <x:v>Input</x:v>
      </x:c>
      <x:c r="C5" s="28" t="str">
        <x:v>PFAS-contaminated water</x:v>
      </x:c>
      <x:c r="D5" s="28" t="str">
        <x:v>V_water_m3</x:v>
      </x:c>
      <x:c r="E5" s="28" t="str">
        <x:v>m3</x:v>
      </x:c>
      <x:c r="F5" s="28" t="str">
        <x:v>No provider / cut-off</x:v>
      </x:c>
      <x:c r="G5" s="28" t="str">
        <x:v>NO</x:v>
      </x:c>
      <x:c r="H5" s="28" t="str">
        <x:v>Usually no cost unless water supply is inside boundary</x:v>
      </x:c>
    </x:row>
    <x:row r="6">
      <x:c r="A6" s="28" t="str">
        <x:v>P04</x:v>
      </x:c>
      <x:c r="B6" s="28" t="str">
        <x:v>Input</x:v>
      </x:c>
      <x:c r="C6" s="28" t="str">
        <x:v>Usable biochar</x:v>
      </x:c>
      <x:c r="D6" s="28" t="str">
        <x:v>m_biochar_kg</x:v>
      </x:c>
      <x:c r="E6" s="28" t="str">
        <x:v>kg</x:v>
      </x:c>
      <x:c r="F6" s="28" t="str">
        <x:v>P03</x:v>
      </x:c>
      <x:c r="G6" s="28" t="str">
        <x:v>NO</x:v>
      </x:c>
      <x:c r="H6" s="28" t="str">
        <x:v>No cost here: P01-P03 already represent production cost</x:v>
      </x:c>
    </x:row>
    <x:row r="7">
      <x:c r="A7" s="28" t="str">
        <x:v>P04</x:v>
      </x:c>
      <x:c r="B7" s="28" t="str">
        <x:v>Input</x:v>
      </x:c>
      <x:c r="C7" s="28" t="str">
        <x:v>Electricity, grid mix</x:v>
      </x:c>
      <x:c r="D7" s="28" t="str">
        <x:v>adsorption_elec_kWh</x:v>
      </x:c>
      <x:c r="E7" s="28" t="str">
        <x:v>kWh</x:v>
      </x:c>
      <x:c r="F7" s="28" t="str">
        <x:v>ELCD electricity</x:v>
      </x:c>
      <x:c r="G7" s="28" t="str">
        <x:v>YES</x:v>
      </x:c>
      <x:c r="H7" s="28" t="str">
        <x:v>adsorption_elec_kWh * price_electricity_USD_kWh</x:v>
      </x:c>
    </x:row>
    <x:row r="8">
      <x:c r="A8" s="28" t="str">
        <x:v>P04</x:v>
      </x:c>
      <x:c r="B8" s="28" t="str">
        <x:v>Input</x:v>
      </x:c>
      <x:c r="C8" s="28" t="str">
        <x:v>Calcium chloride proxy</x:v>
      </x:c>
      <x:c r="D8" s="28" t="str">
        <x:v>m_CaCl2_kg</x:v>
      </x:c>
      <x:c r="E8" s="28" t="str">
        <x:v>kg</x:v>
      </x:c>
      <x:c r="F8" s="28" t="str">
        <x:v>P07</x:v>
      </x:c>
      <x:c r="G8" s="28" t="str">
        <x:v>OPTION A: YES in P04; OPTION B: NO in P04</x:v>
      </x:c>
      <x:c r="H8" s="28" t="str">
        <x:v>A: m_CaCl2_kg * price_CaCl2_USD_kg. B: cost P07 raw inputs. Do not do both.</x:v>
      </x:c>
    </x:row>
    <x:row r="9">
      <x:c r="A9" s="28" t="str">
        <x:v>P04</x:v>
      </x:c>
      <x:c r="B9" s="28" t="str">
        <x:v>Input</x:v>
      </x:c>
      <x:c r="C9" s="28" t="str">
        <x:v>Sodium chloride</x:v>
      </x:c>
      <x:c r="D9" s="28" t="str">
        <x:v>m_NaCl_kg</x:v>
      </x:c>
      <x:c r="E9" s="28" t="str">
        <x:v>kg</x:v>
      </x:c>
      <x:c r="F9" s="28" t="str">
        <x:v>ELCD/proxy</x:v>
      </x:c>
      <x:c r="G9" s="28" t="str">
        <x:v>YES</x:v>
      </x:c>
      <x:c r="H9" s="28" t="str">
        <x:v>m_NaCl_kg * price_NaCl_USD_kg</x:v>
      </x:c>
    </x:row>
    <x:row r="10">
      <x:c r="A10" s="28" t="str">
        <x:v>P04</x:v>
      </x:c>
      <x:c r="B10" s="28" t="str">
        <x:v>Input</x:v>
      </x:c>
      <x:c r="C10" s="28" t="str">
        <x:v>Humic acid proxy</x:v>
      </x:c>
      <x:c r="D10" s="28" t="str">
        <x:v>m_humic_kg</x:v>
      </x:c>
      <x:c r="E10" s="28" t="str">
        <x:v>kg</x:v>
      </x:c>
      <x:c r="F10" s="28" t="str">
        <x:v>Proxy/cut-off</x:v>
      </x:c>
      <x:c r="G10" s="28" t="str">
        <x:v>YES if intentionally added</x:v>
      </x:c>
      <x:c r="H10" s="28" t="str">
        <x:v>m_humic_kg * price_humic_USD_kg</x:v>
      </x:c>
    </x:row>
    <x:row r="11">
      <x:c r="A11" s="28" t="str">
        <x:v>P04</x:v>
      </x:c>
      <x:c r="B11" s="28" t="str">
        <x:v>Input</x:v>
      </x:c>
      <x:c r="C11" s="28" t="str">
        <x:v>Filter media</x:v>
      </x:c>
      <x:c r="D11" s="28" t="str">
        <x:v>m_filter_media_kg</x:v>
      </x:c>
      <x:c r="E11" s="28" t="str">
        <x:v>kg</x:v>
      </x:c>
      <x:c r="F11" s="28" t="str">
        <x:v>ELCD/proxy</x:v>
      </x:c>
      <x:c r="G11" s="28" t="str">
        <x:v>YES</x:v>
      </x:c>
      <x:c r="H11" s="28" t="str">
        <x:v>m_filter_media_kg * price_filter_media_USD_kg</x:v>
      </x:c>
    </x:row>
    <x:row r="12">
      <x:c r="A12" s="28" t="str">
        <x:v>P04</x:v>
      </x:c>
      <x:c r="B12" s="28" t="str">
        <x:v>Output</x:v>
      </x:c>
      <x:c r="C12" s="28" t="str">
        <x:v>Treated water</x:v>
      </x:c>
      <x:c r="D12" s="28" t="str">
        <x:v>V_water_m3</x:v>
      </x:c>
      <x:c r="E12" s="28" t="str">
        <x:v>m3</x:v>
      </x:c>
      <x:c r="F12" s="28" t="str">
        <x:v>Reference output</x:v>
      </x:c>
      <x:c r="G12" s="28" t="str">
        <x:v>NO</x:v>
      </x:c>
      <x:c r="H12" s="28" t="str">
        <x:v>Reference flow for product system</x:v>
      </x:c>
    </x:row>
    <x:row r="13">
      <x:c r="A13" s="28" t="str">
        <x:v>P04</x:v>
      </x:c>
      <x:c r="B13" s="28" t="str">
        <x:v>Output</x:v>
      </x:c>
      <x:c r="C13" s="28" t="str">
        <x:v>Spent PFAS-loaded biochar</x:v>
      </x:c>
      <x:c r="D13" s="28" t="str">
        <x:v>m_spent_biochar_kg</x:v>
      </x:c>
      <x:c r="E13" s="28" t="str">
        <x:v>kg</x:v>
      </x:c>
      <x:c r="F13" s="28" t="str">
        <x:v>P05 or P06</x:v>
      </x:c>
      <x:c r="G13" s="28" t="str">
        <x:v>NO in P04</x:v>
      </x:c>
      <x:c r="H13" s="28" t="str">
        <x:v>Treatment cost belongs in P05/P06</x:v>
      </x:c>
    </x:row>
    <x:row r="14">
      <x:c r="A14" s="28" t="str">
        <x:v>P04</x:v>
      </x:c>
      <x:c r="B14" s="28" t="str">
        <x:v>Output</x:v>
      </x:c>
      <x:c r="C14" s="28" t="str">
        <x:v>PFAS residual to water</x:v>
      </x:c>
      <x:c r="D14" s="28" t="str">
        <x:v>m_PFAS_residual_kg</x:v>
      </x:c>
      <x:c r="E14" s="28" t="str">
        <x:v>kg</x:v>
      </x:c>
      <x:c r="F14" s="28" t="str">
        <x:v>Elementary flow</x:v>
      </x:c>
      <x:c r="G14" s="28" t="str">
        <x:v>NO</x:v>
      </x:c>
      <x:c r="H14" s="28" t="str">
        <x:v>Inventory/performance only; ReCiPe may not characterize PFAS</x:v>
      </x:c>
    </x:row>
    <x:row r="15">
      <x:c r="A15" s="28" t="str">
        <x:v>P04</x:v>
      </x:c>
      <x:c r="B15" s="28" t="str">
        <x:v>Output</x:v>
      </x:c>
      <x:c r="C15" s="28" t="str">
        <x:v>PFAS captured on biochar</x:v>
      </x:c>
      <x:c r="D15" s="28" t="str">
        <x:v>m_PFAS_removed_kg</x:v>
      </x:c>
      <x:c r="E15" s="28" t="str">
        <x:v>kg</x:v>
      </x:c>
      <x:c r="F15" s="28" t="str">
        <x:v>Indicator flow</x:v>
      </x:c>
      <x:c r="G15" s="28" t="str">
        <x:v>NO</x:v>
      </x:c>
      <x:c r="H15" s="28" t="str">
        <x:v>Use for reporting and cost per kg PFAS removed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8" hidden="0" customWidth="1"/>
    <x:col min="4" max="4" width="55" hidden="0" customWidth="1"/>
    <x:col min="5" max="5" width="12" hidden="0" customWidth="1"/>
    <x:col min="6" max="6" width="45" hidden="0" customWidth="1"/>
    <x:col min="7" max="7" width="16" hidden="0" customWidth="1"/>
    <x:col min="8" max="8" width="75" hidden="0" customWidth="1"/>
  </x:cols>
  <x:sheetData>
    <x:row r="1" ht="28" customHeight="1">
      <x:c r="A1" s="50" t="str">
        <x:v>P05, P06, P07 Exchanges and Cost Links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P05/P06 are downstream treatment alternatives. P07 is upstream CaCl2 supplier.</x:v>
      </x:c>
    </x:row>
    <x:row r="4">
      <x:c r="A4" s="24" t="str">
        <x:v>Process</x:v>
      </x:c>
      <x:c r="B4" s="24" t="str">
        <x:v>Direction</x:v>
      </x:c>
      <x:c r="C4" s="24" t="str">
        <x:v>Flow</x:v>
      </x:c>
      <x:c r="D4" s="24" t="str">
        <x:v>Amount/formula in openLCA</x:v>
      </x:c>
      <x:c r="E4" s="24" t="str">
        <x:v>Unit</x:v>
      </x:c>
      <x:c r="F4" s="24" t="str">
        <x:v>Provider / treatment</x:v>
      </x:c>
      <x:c r="G4" s="24" t="str">
        <x:v>Attach cost?</x:v>
      </x:c>
      <x:c r="H4" s="24" t="str">
        <x:v>Cost formula / note</x:v>
      </x:c>
    </x:row>
    <x:row r="5">
      <x:c r="A5" s="28" t="str">
        <x:v>P05</x:v>
      </x:c>
      <x:c r="B5" s="28" t="str">
        <x:v>Input</x:v>
      </x:c>
      <x:c r="C5" s="28" t="str">
        <x:v>Spent PFAS-loaded biochar</x:v>
      </x:c>
      <x:c r="D5" s="28" t="str">
        <x:v>1</x:v>
      </x:c>
      <x:c r="E5" s="28" t="str">
        <x:v>kg</x:v>
      </x:c>
      <x:c r="F5" s="28" t="str">
        <x:v>From P04</x:v>
      </x:c>
      <x:c r="G5" s="28" t="str">
        <x:v>NO if service input is costed</x:v>
      </x:c>
      <x:c r="H5" s="28" t="str">
        <x:v>Waste amount scales from P04 output</x:v>
      </x:c>
    </x:row>
    <x:row r="6">
      <x:c r="A6" s="28" t="str">
        <x:v>P05</x:v>
      </x:c>
      <x:c r="B6" s="28" t="str">
        <x:v>Input</x:v>
      </x:c>
      <x:c r="C6" s="28" t="str">
        <x:v>Hazardous waste incineration service</x:v>
      </x:c>
      <x:c r="D6" s="28" t="str">
        <x:v>1</x:v>
      </x:c>
      <x:c r="E6" s="28" t="str">
        <x:v>kg</x:v>
      </x:c>
      <x:c r="F6" s="28" t="str">
        <x:v>ELCD incineration service</x:v>
      </x:c>
      <x:c r="G6" s="28" t="str">
        <x:v>YES</x:v>
      </x:c>
      <x:c r="H6" s="28" t="str">
        <x:v>price_incin_USD_kg</x:v>
      </x:c>
    </x:row>
    <x:row r="7">
      <x:c r="A7" s="28" t="str">
        <x:v>P05</x:v>
      </x:c>
      <x:c r="B7" s="28" t="str">
        <x:v>Output</x:v>
      </x:c>
      <x:c r="C7" s="28" t="str">
        <x:v>Ash/residue</x:v>
      </x:c>
      <x:c r="D7" s="28" t="str">
        <x:v>ash_fraction_spent</x:v>
      </x:c>
      <x:c r="E7" s="28" t="str">
        <x:v>kg</x:v>
      </x:c>
      <x:c r="F7" s="28" t="str">
        <x:v>Optional landfill</x:v>
      </x:c>
      <x:c r="G7" s="28" t="str">
        <x:v>OPTIONAL</x:v>
      </x:c>
      <x:c r="H7" s="28" t="str">
        <x:v>If ash disposal is modelled, attach landfill service cost only once</x:v>
      </x:c>
    </x:row>
    <x:row r="8">
      <x:c r="A8" s="28" t="str">
        <x:v>P06</x:v>
      </x:c>
      <x:c r="B8" s="28" t="str">
        <x:v>Input</x:v>
      </x:c>
      <x:c r="C8" s="28" t="str">
        <x:v>Spent PFAS-loaded biochar</x:v>
      </x:c>
      <x:c r="D8" s="28" t="str">
        <x:v>1</x:v>
      </x:c>
      <x:c r="E8" s="28" t="str">
        <x:v>kg</x:v>
      </x:c>
      <x:c r="F8" s="28" t="str">
        <x:v>From P04</x:v>
      </x:c>
      <x:c r="G8" s="28" t="str">
        <x:v>NO if service input is costed</x:v>
      </x:c>
      <x:c r="H8" s="28" t="str">
        <x:v>Waste amount scales from P04 output</x:v>
      </x:c>
    </x:row>
    <x:row r="9">
      <x:c r="A9" s="28" t="str">
        <x:v>P06</x:v>
      </x:c>
      <x:c r="B9" s="28" t="str">
        <x:v>Input</x:v>
      </x:c>
      <x:c r="C9" s="28" t="str">
        <x:v>Hazardous landfill service</x:v>
      </x:c>
      <x:c r="D9" s="28" t="str">
        <x:v>1</x:v>
      </x:c>
      <x:c r="E9" s="28" t="str">
        <x:v>kg</x:v>
      </x:c>
      <x:c r="F9" s="28" t="str">
        <x:v>ELCD landfill service</x:v>
      </x:c>
      <x:c r="G9" s="28" t="str">
        <x:v>YES</x:v>
      </x:c>
      <x:c r="H9" s="28" t="str">
        <x:v>price_landfill_USD_kg</x:v>
      </x:c>
    </x:row>
    <x:row r="10">
      <x:c r="A10" s="28" t="str">
        <x:v>P07</x:v>
      </x:c>
      <x:c r="B10" s="28" t="str">
        <x:v>Input</x:v>
      </x:c>
      <x:c r="C10" s="28" t="str">
        <x:v>Limestone / calcium carbonate</x:v>
      </x:c>
      <x:c r="D10" s="28" t="str">
        <x:v>p07_caco3_kg</x:v>
      </x:c>
      <x:c r="E10" s="28" t="str">
        <x:v>kg</x:v>
      </x:c>
      <x:c r="F10" s="28" t="str">
        <x:v>ELCD limestone/CaCO3</x:v>
      </x:c>
      <x:c r="G10" s="28" t="str">
        <x:v>Option B only</x:v>
      </x:c>
      <x:c r="H10" s="28" t="str">
        <x:v>p07_caco3_kg * price_caco3_USD_kg</x:v>
      </x:c>
    </x:row>
    <x:row r="11">
      <x:c r="A11" s="28" t="str">
        <x:v>P07</x:v>
      </x:c>
      <x:c r="B11" s="28" t="str">
        <x:v>Input</x:v>
      </x:c>
      <x:c r="C11" s="28" t="str">
        <x:v>Hydrochloric acid 30% solution</x:v>
      </x:c>
      <x:c r="D11" s="28" t="str">
        <x:v>p07_hcl_solution_kg</x:v>
      </x:c>
      <x:c r="E11" s="28" t="str">
        <x:v>kg</x:v>
      </x:c>
      <x:c r="F11" s="28" t="str">
        <x:v>ELCD HCl/proxy</x:v>
      </x:c>
      <x:c r="G11" s="28" t="str">
        <x:v>Option B only</x:v>
      </x:c>
      <x:c r="H11" s="28" t="str">
        <x:v>p07_hcl_solution_kg * price_HCl30_USD_kg</x:v>
      </x:c>
    </x:row>
    <x:row r="12">
      <x:c r="A12" s="28" t="str">
        <x:v>P07</x:v>
      </x:c>
      <x:c r="B12" s="28" t="str">
        <x:v>Input</x:v>
      </x:c>
      <x:c r="C12" s="28" t="str">
        <x:v>Electricity, grid mix</x:v>
      </x:c>
      <x:c r="D12" s="28" t="str">
        <x:v>p07_elec</x:v>
      </x:c>
      <x:c r="E12" s="28" t="str">
        <x:v>kWh</x:v>
      </x:c>
      <x:c r="F12" s="28" t="str">
        <x:v>ELCD electricity</x:v>
      </x:c>
      <x:c r="G12" s="28" t="str">
        <x:v>Option B only</x:v>
      </x:c>
      <x:c r="H12" s="28" t="str">
        <x:v>p07_elec * price_electricity_USD_kWh</x:v>
      </x:c>
    </x:row>
    <x:row r="13">
      <x:c r="A13" s="28" t="str">
        <x:v>P07</x:v>
      </x:c>
      <x:c r="B13" s="28" t="str">
        <x:v>Input</x:v>
      </x:c>
      <x:c r="C13" s="28" t="str">
        <x:v>Process water</x:v>
      </x:c>
      <x:c r="D13" s="28" t="str">
        <x:v>p07_water</x:v>
      </x:c>
      <x:c r="E13" s="28" t="str">
        <x:v>kg</x:v>
      </x:c>
      <x:c r="F13" s="28" t="str">
        <x:v>ELCD water</x:v>
      </x:c>
      <x:c r="G13" s="28" t="str">
        <x:v>Option B only</x:v>
      </x:c>
      <x:c r="H13" s="28" t="str">
        <x:v>p07_water * price_water_USD_kg</x:v>
      </x:c>
    </x:row>
    <x:row r="14">
      <x:c r="A14" s="28" t="str">
        <x:v>P07</x:v>
      </x:c>
      <x:c r="B14" s="28" t="str">
        <x:v>Output</x:v>
      </x:c>
      <x:c r="C14" s="28" t="str">
        <x:v>Calcium chloride proxy</x:v>
      </x:c>
      <x:c r="D14" s="28" t="str">
        <x:v>1</x:v>
      </x:c>
      <x:c r="E14" s="28" t="str">
        <x:v>kg</x:v>
      </x:c>
      <x:c r="F14" s="28" t="str">
        <x:v>Reference output to P04</x:v>
      </x:c>
      <x:c r="G14" s="28" t="str">
        <x:v>NO</x:v>
      </x:c>
      <x:c r="H14" s="28" t="str">
        <x:v>If Option A used, CaCl2 purchase cost is in P04; if B used, raw inputs carry cost</x:v>
      </x:c>
    </x:row>
    <x:row r="15">
      <x:c r="A15" s="28" t="str">
        <x:v>P07</x:v>
      </x:c>
      <x:c r="B15" s="28" t="str">
        <x:v>Output</x:v>
      </x:c>
      <x:c r="C15" s="28" t="str">
        <x:v>Carbon dioxide, to air</x:v>
      </x:c>
      <x:c r="D15" s="28" t="str">
        <x:v>p07_co2_kg</x:v>
      </x:c>
      <x:c r="E15" s="28" t="str">
        <x:v>kg</x:v>
      </x:c>
      <x:c r="F15" s="28" t="str">
        <x:v>Elementary flow</x:v>
      </x:c>
      <x:c r="G15" s="28" t="str">
        <x:v>NO</x:v>
      </x:c>
      <x:c r="H15" s="28" t="str">
        <x:v>Environmental emission only</x:v>
      </x:c>
    </x:row>
    <x:row r="16">
      <x:c r="A16" s="28" t="str">
        <x:v>P07</x:v>
      </x:c>
      <x:c r="B16" s="28" t="str">
        <x:v>Output</x:v>
      </x:c>
      <x:c r="C16" s="28" t="str">
        <x:v>Inorganic wastewater</x:v>
      </x:c>
      <x:c r="D16" s="28" t="str">
        <x:v>p07_wastewater</x:v>
      </x:c>
      <x:c r="E16" s="28" t="str">
        <x:v>m3</x:v>
      </x:c>
      <x:c r="F16" s="28" t="str">
        <x:v>Wastewater treatment</x:v>
      </x:c>
      <x:c r="G16" s="28" t="str">
        <x:v>Option B only</x:v>
      </x:c>
      <x:c r="H16" s="28" t="str">
        <x:v>p07_wastewater * price_wastewater_USD_m3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60" hidden="0" customWidth="1"/>
    <x:col min="3" max="3" width="60" hidden="0" customWidth="1"/>
    <x:col min="4" max="4" width="14" hidden="0" customWidth="1"/>
    <x:col min="5" max="5" width="28" hidden="0" customWidth="1"/>
    <x:col min="6" max="6" width="55" hidden="0" customWidth="1"/>
  </x:cols>
  <x:sheetData>
    <x:row r="1" ht="28" customHeight="1">
      <x:c r="A1" s="50" t="str">
        <x:v>Product System Creation and Provider Links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Create product systems from P04. P05/P06 and P07 enter through linked waste/provider flows.</x:v>
      </x:c>
    </x:row>
    <x:row r="4">
      <x:c r="A4" s="24" t="str">
        <x:v>Product system name</x:v>
      </x:c>
      <x:c r="B4" s="24" t="str">
        <x:v>Reference process</x:v>
      </x:c>
      <x:c r="C4" s="24" t="str">
        <x:v>Reference flow</x:v>
      </x:c>
      <x:c r="D4" s="24" t="str">
        <x:v>Amount</x:v>
      </x:c>
      <x:c r="E4" s="24" t="str">
        <x:v>End-of-life provider</x:v>
      </x:c>
      <x:c r="F4" s="24" t="str">
        <x:v>Use</x:v>
      </x:c>
    </x:row>
    <x:row r="5">
      <x:c r="A5" s="28" t="str">
        <x:v>PS_Biochar_PFAS_Incineration</x:v>
      </x:c>
      <x:c r="B5" s="28" t="str">
        <x:v>P04 - PFAS adsorption treatment with biochar</x:v>
      </x:c>
      <x:c r="C5" s="28" t="str">
        <x:v>Treated water</x:v>
      </x:c>
      <x:c r="D5" s="28" t="str">
        <x:v>1 m3</x:v>
      </x:c>
      <x:c r="E5" s="28" t="str">
        <x:v>P05</x:v>
      </x:c>
      <x:c r="F5" s="28" t="str">
        <x:v>Base case for PFAS-loaded spent adsorbent</x:v>
      </x:c>
    </x:row>
    <x:row r="6">
      <x:c r="A6" s="28" t="str">
        <x:v>PS_Biochar_PFAS_Landfill</x:v>
      </x:c>
      <x:c r="B6" s="28" t="str">
        <x:v>P04 - PFAS adsorption treatment with biochar</x:v>
      </x:c>
      <x:c r="C6" s="28" t="str">
        <x:v>Treated water</x:v>
      </x:c>
      <x:c r="D6" s="28" t="str">
        <x:v>1 m3</x:v>
      </x:c>
      <x:c r="E6" s="28" t="str">
        <x:v>P06</x:v>
      </x:c>
      <x:c r="F6" s="28" t="str">
        <x:v>Sensitivity only; do not link P05 and P06 together</x:v>
      </x:c>
    </x:row>
    <x:row r="10">
      <x:c r="A10" s="24" t="str">
        <x:v>Exchange</x:v>
      </x:c>
      <x:c r="B10" s="24" t="str">
        <x:v>Provider/treatment</x:v>
      </x:c>
      <x:c r="C10" s="24" t="str">
        <x:v>Status / note</x:v>
      </x:c>
    </x:row>
    <x:row r="11">
      <x:c r="A11" s="28" t="str">
        <x:v>P04 input Usable biochar</x:v>
      </x:c>
      <x:c r="B11" s="28" t="str">
        <x:v>Provider P03 - Biochar washing/modification</x:v>
      </x:c>
      <x:c r="C11" s="28" t="str">
        <x:v>Required</x:v>
      </x:c>
    </x:row>
    <x:row r="12">
      <x:c r="A12" s="28" t="str">
        <x:v>P03 input Raw biochar</x:v>
      </x:c>
      <x:c r="B12" s="28" t="str">
        <x:v>Provider P02 - Biochar pyrolysis</x:v>
      </x:c>
      <x:c r="C12" s="28" t="str">
        <x:v>Required</x:v>
      </x:c>
    </x:row>
    <x:row r="13">
      <x:c r="A13" s="28" t="str">
        <x:v>P02 input Prepared dry biomass</x:v>
      </x:c>
      <x:c r="B13" s="28" t="str">
        <x:v>Provider P01 - Biomass preparation</x:v>
      </x:c>
      <x:c r="C13" s="28" t="str">
        <x:v>Required</x:v>
      </x:c>
    </x:row>
    <x:row r="14">
      <x:c r="A14" s="28" t="str">
        <x:v>P04 input Calcium chloride proxy</x:v>
      </x:c>
      <x:c r="B14" s="28" t="str">
        <x:v>Provider P07 - Calcium chloride production proxy</x:v>
      </x:c>
      <x:c r="C14" s="28" t="str">
        <x:v>Only contributes if m_CaCl2_kg &gt; 0</x:v>
      </x:c>
    </x:row>
    <x:row r="15">
      <x:c r="A15" s="28" t="str">
        <x:v>P04 output Spent PFAS-loaded biochar</x:v>
      </x:c>
      <x:c r="B15" s="28" t="str">
        <x:v>Treatment provider P05 or P06</x:v>
      </x:c>
      <x:c r="C15" s="28" t="str">
        <x:v>Select one end-of-life route</x:v>
      </x:c>
    </x:row>
    <x:row r="16">
      <x:c r="A16" s="28" t="str">
        <x:v>Electricity / heat / transport / water / waste services</x:v>
      </x:c>
      <x:c r="B16" s="28" t="str">
        <x:v>ELCD providers or foreground proxies</x:v>
      </x:c>
      <x:c r="C16" s="28" t="str">
        <x:v>Search and manually assign provider if auto-link fails</x:v>
      </x:c>
    </x:row>
    <x:row r="19">
      <x:c r="A19" s="46" t="str">
        <x:v>Manual check after auto-linking: confirm P04 points upstream to P03 and P07, downstream to either P05 or P06, and background utilities to ELCD.</x:v>
      </x:c>
      <x:c r="B19" t="str">
        <x:v>Manual check after auto-linking: confirm P04 points upstream to P03 and P07, downstream to either P05 or P06, and background utilities to ELCD.</x:v>
      </x:c>
      <x:c r="C19" t="str">
        <x:v>Manual check after auto-linking: confirm P04 points upstream to P03 and P07, downstream to either P05 or P06, and background utilities to ELCD.</x:v>
      </x:c>
      <x:c r="D19" t="str">
        <x:v>Manual check after auto-linking: confirm P04 points upstream to P03 and P07, downstream to either P05 or P06, and background utilities to ELCD.</x:v>
      </x:c>
      <x:c r="E19" t="str">
        <x:v>Manual check after auto-linking: confirm P04 points upstream to P03 and P07, downstream to either P05 or P06, and background utilities to ELCD.</x:v>
      </x:c>
      <x:c r="F19" t="str">
        <x:v>Manual check after auto-linking: confirm P04 points upstream to P03 and P07, downstream to either P05 or P06, and background utilities to ELCD.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48" hidden="0" customWidth="1"/>
    <x:col min="5" max="5" width="35" hidden="0" customWidth="1"/>
    <x:col min="6" max="6" width="16" hidden="0" customWidth="1"/>
    <x:col min="7" max="7" width="60" hidden="0" customWidth="1"/>
    <x:col min="8" max="8" width="32" hidden="0" customWidth="1"/>
  </x:cols>
  <x:sheetData>
    <x:row r="1" ht="28" customHeight="1">
      <x:c r="A1" s="50" t="str">
        <x:v>How Costs Link to Inputs/Outputs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Native openLCA cost attaches to exchange rows. External LCC uses the same exchange quantity formulas and unit prices.</x:v>
      </x:c>
    </x:row>
    <x:row r="4">
      <x:c r="A4" s="24" t="str">
        <x:v>Process</x:v>
      </x:c>
      <x:c r="B4" s="24" t="str">
        <x:v>Exchange</x:v>
      </x:c>
      <x:c r="C4" s="24" t="str">
        <x:v>Direction</x:v>
      </x:c>
      <x:c r="D4" s="24" t="str">
        <x:v>Amount formula</x:v>
      </x:c>
      <x:c r="E4" s="24" t="str">
        <x:v>Cost role</x:v>
      </x:c>
      <x:c r="F4" s="24" t="str">
        <x:v>Attach cost?</x:v>
      </x:c>
      <x:c r="G4" s="24" t="str">
        <x:v>Cost formula</x:v>
      </x:c>
      <x:c r="H4" s="24" t="str">
        <x:v>Double-count risk</x:v>
      </x:c>
    </x:row>
    <x:row r="5">
      <x:c r="A5" s="28" t="str">
        <x:v>P01</x:v>
      </x:c>
      <x:c r="B5" s="28" t="str">
        <x:v>Wet biomass residue</x:v>
      </x:c>
      <x:c r="C5" s="28" t="str">
        <x:v>Input</x:v>
      </x:c>
      <x:c r="D5" s="28" t="str">
        <x:v>biomass_moisture_factor</x:v>
      </x:c>
      <x:c r="E5" s="28" t="str">
        <x:v>Purchased feedstock</x:v>
      </x:c>
      <x:c r="F5" s="28" t="str">
        <x:v>YES</x:v>
      </x:c>
      <x:c r="G5" s="28" t="str">
        <x:v>biomass_moisture_factor * price_wet_biomass_USD_kg</x:v>
      </x:c>
      <x:c r="H5" s="28" t="str">
        <x:v>No</x:v>
      </x:c>
    </x:row>
    <x:row r="6">
      <x:c r="A6" s="28" t="str">
        <x:v>P01</x:v>
      </x:c>
      <x:c r="B6" s="28" t="str">
        <x:v>Electricity</x:v>
      </x:c>
      <x:c r="C6" s="28" t="str">
        <x:v>Input</x:v>
      </x:c>
      <x:c r="D6" s="28" t="str">
        <x:v>prep_elec_kWh_kgDry</x:v>
      </x:c>
      <x:c r="E6" s="28" t="str">
        <x:v>Purchased utility</x:v>
      </x:c>
      <x:c r="F6" s="28" t="str">
        <x:v>YES</x:v>
      </x:c>
      <x:c r="G6" s="28" t="str">
        <x:v>amount * price_electricity_USD_kWh</x:v>
      </x:c>
      <x:c r="H6" s="28" t="str">
        <x:v>No</x:v>
      </x:c>
    </x:row>
    <x:row r="7">
      <x:c r="A7" s="28" t="str">
        <x:v>P01</x:v>
      </x:c>
      <x:c r="B7" s="28" t="str">
        <x:v>Heat</x:v>
      </x:c>
      <x:c r="C7" s="28" t="str">
        <x:v>Input</x:v>
      </x:c>
      <x:c r="D7" s="28" t="str">
        <x:v>prep_heat_MJ_kgDry</x:v>
      </x:c>
      <x:c r="E7" s="28" t="str">
        <x:v>Purchased utility</x:v>
      </x:c>
      <x:c r="F7" s="28" t="str">
        <x:v>YES</x:v>
      </x:c>
      <x:c r="G7" s="28" t="str">
        <x:v>amount * price_heat_USD_MJ</x:v>
      </x:c>
      <x:c r="H7" s="28" t="str">
        <x:v>No</x:v>
      </x:c>
    </x:row>
    <x:row r="8">
      <x:c r="A8" s="28" t="str">
        <x:v>P01</x:v>
      </x:c>
      <x:c r="B8" s="28" t="str">
        <x:v>Transport</x:v>
      </x:c>
      <x:c r="C8" s="28" t="str">
        <x:v>Input</x:v>
      </x:c>
      <x:c r="D8" s="28" t="str">
        <x:v>biomass_moisture_factor * biomass_transport_km / 1000</x:v>
      </x:c>
      <x:c r="E8" s="28" t="str">
        <x:v>Purchased service</x:v>
      </x:c>
      <x:c r="F8" s="28" t="str">
        <x:v>YES</x:v>
      </x:c>
      <x:c r="G8" s="28" t="str">
        <x:v>amount * price_transport_USD_tkm</x:v>
      </x:c>
      <x:c r="H8" s="28" t="str">
        <x:v>No</x:v>
      </x:c>
    </x:row>
    <x:row r="9">
      <x:c r="A9" s="28" t="str">
        <x:v>P02</x:v>
      </x:c>
      <x:c r="B9" s="28" t="str">
        <x:v>Prepared dry biomass</x:v>
      </x:c>
      <x:c r="C9" s="28" t="str">
        <x:v>Input</x:v>
      </x:c>
      <x:c r="D9" s="28" t="str">
        <x:v>1 / biochar_yield</x:v>
      </x:c>
      <x:c r="E9" s="28" t="str">
        <x:v>Foreground intermediate from P01</x:v>
      </x:c>
      <x:c r="F9" s="28" t="str">
        <x:v>NO</x:v>
      </x:c>
      <x:c r="G9" s="28" t="str">
        <x:v>Already costed in P01</x:v>
      </x:c>
      <x:c r="H9" s="28" t="str">
        <x:v>YES if cost added</x:v>
      </x:c>
    </x:row>
    <x:row r="10">
      <x:c r="A10" s="28" t="str">
        <x:v>P02</x:v>
      </x:c>
      <x:c r="B10" s="28" t="str">
        <x:v>Electricity/heat/N2</x:v>
      </x:c>
      <x:c r="C10" s="28" t="str">
        <x:v>Input</x:v>
      </x:c>
      <x:c r="D10" s="28" t="str">
        <x:v>see P02 sheet</x:v>
      </x:c>
      <x:c r="E10" s="28" t="str">
        <x:v>Purchased inputs</x:v>
      </x:c>
      <x:c r="F10" s="28" t="str">
        <x:v>YES</x:v>
      </x:c>
      <x:c r="G10" s="28" t="str">
        <x:v>amount * relevant price</x:v>
      </x:c>
      <x:c r="H10" s="28" t="str">
        <x:v>No</x:v>
      </x:c>
    </x:row>
    <x:row r="11">
      <x:c r="A11" s="28" t="str">
        <x:v>P03</x:v>
      </x:c>
      <x:c r="B11" s="28" t="str">
        <x:v>Raw biochar</x:v>
      </x:c>
      <x:c r="C11" s="28" t="str">
        <x:v>Input</x:v>
      </x:c>
      <x:c r="D11" s="28" t="str">
        <x:v>1</x:v>
      </x:c>
      <x:c r="E11" s="28" t="str">
        <x:v>Foreground intermediate from P02</x:v>
      </x:c>
      <x:c r="F11" s="28" t="str">
        <x:v>NO</x:v>
      </x:c>
      <x:c r="G11" s="28" t="str">
        <x:v>Already costed upstream</x:v>
      </x:c>
      <x:c r="H11" s="28" t="str">
        <x:v>YES if cost added</x:v>
      </x:c>
    </x:row>
    <x:row r="12">
      <x:c r="A12" s="28" t="str">
        <x:v>P03</x:v>
      </x:c>
      <x:c r="B12" s="28" t="str">
        <x:v>Water/electricity/heat/chemicals</x:v>
      </x:c>
      <x:c r="C12" s="28" t="str">
        <x:v>Input</x:v>
      </x:c>
      <x:c r="D12" s="28" t="str">
        <x:v>see P03 sheet</x:v>
      </x:c>
      <x:c r="E12" s="28" t="str">
        <x:v>Purchased inputs</x:v>
      </x:c>
      <x:c r="F12" s="28" t="str">
        <x:v>YES</x:v>
      </x:c>
      <x:c r="G12" s="28" t="str">
        <x:v>amount * relevant price</x:v>
      </x:c>
      <x:c r="H12" s="28" t="str">
        <x:v>No</x:v>
      </x:c>
    </x:row>
    <x:row r="13">
      <x:c r="A13" s="28" t="str">
        <x:v>P04</x:v>
      </x:c>
      <x:c r="B13" s="28" t="str">
        <x:v>Usable biochar</x:v>
      </x:c>
      <x:c r="C13" s="28" t="str">
        <x:v>Input</x:v>
      </x:c>
      <x:c r="D13" s="28" t="str">
        <x:v>m_biochar_kg</x:v>
      </x:c>
      <x:c r="E13" s="28" t="str">
        <x:v>Foreground intermediate from P03</x:v>
      </x:c>
      <x:c r="F13" s="28" t="str">
        <x:v>NO</x:v>
      </x:c>
      <x:c r="G13" s="28" t="str">
        <x:v>Already costed upstream</x:v>
      </x:c>
      <x:c r="H13" s="28" t="str">
        <x:v>YES if cost added</x:v>
      </x:c>
    </x:row>
    <x:row r="14">
      <x:c r="A14" s="28" t="str">
        <x:v>P04</x:v>
      </x:c>
      <x:c r="B14" s="28" t="str">
        <x:v>Adsorption electricity / salts / filter media</x:v>
      </x:c>
      <x:c r="C14" s="28" t="str">
        <x:v>Input</x:v>
      </x:c>
      <x:c r="D14" s="28" t="str">
        <x:v>see P04 sheet</x:v>
      </x:c>
      <x:c r="E14" s="28" t="str">
        <x:v>Purchased inputs</x:v>
      </x:c>
      <x:c r="F14" s="28" t="str">
        <x:v>YES</x:v>
      </x:c>
      <x:c r="G14" s="28" t="str">
        <x:v>amount * relevant price</x:v>
      </x:c>
      <x:c r="H14" s="28" t="str">
        <x:v>No</x:v>
      </x:c>
    </x:row>
    <x:row r="15">
      <x:c r="A15" s="28" t="str">
        <x:v>P04</x:v>
      </x:c>
      <x:c r="B15" s="28" t="str">
        <x:v>Spent biochar output</x:v>
      </x:c>
      <x:c r="C15" s="28" t="str">
        <x:v>Output</x:v>
      </x:c>
      <x:c r="D15" s="28" t="str">
        <x:v>m_spent_biochar_kg</x:v>
      </x:c>
      <x:c r="E15" s="28" t="str">
        <x:v>Waste sent to P05/P06</x:v>
      </x:c>
      <x:c r="F15" s="28" t="str">
        <x:v>NO</x:v>
      </x:c>
      <x:c r="G15" s="28" t="str">
        <x:v>Treatment cost belongs in P05/P06</x:v>
      </x:c>
      <x:c r="H15" s="28" t="str">
        <x:v>YES if cost also in P05/P06</x:v>
      </x:c>
    </x:row>
    <x:row r="16">
      <x:c r="A16" s="28" t="str">
        <x:v>P05</x:v>
      </x:c>
      <x:c r="B16" s="28" t="str">
        <x:v>Incineration service</x:v>
      </x:c>
      <x:c r="C16" s="28" t="str">
        <x:v>Input</x:v>
      </x:c>
      <x:c r="D16" s="28" t="str">
        <x:v>1</x:v>
      </x:c>
      <x:c r="E16" s="28" t="str">
        <x:v>Waste treatment service</x:v>
      </x:c>
      <x:c r="F16" s="28" t="str">
        <x:v>YES</x:v>
      </x:c>
      <x:c r="G16" s="28" t="str">
        <x:v>price_incin_USD_kg</x:v>
      </x:c>
      <x:c r="H16" s="28" t="str">
        <x:v>No</x:v>
      </x:c>
    </x:row>
    <x:row r="17">
      <x:c r="A17" s="28" t="str">
        <x:v>P06</x:v>
      </x:c>
      <x:c r="B17" s="28" t="str">
        <x:v>Landfill service</x:v>
      </x:c>
      <x:c r="C17" s="28" t="str">
        <x:v>Input</x:v>
      </x:c>
      <x:c r="D17" s="28" t="str">
        <x:v>1</x:v>
      </x:c>
      <x:c r="E17" s="28" t="str">
        <x:v>Waste treatment service</x:v>
      </x:c>
      <x:c r="F17" s="28" t="str">
        <x:v>YES</x:v>
      </x:c>
      <x:c r="G17" s="28" t="str">
        <x:v>price_landfill_USD_kg</x:v>
      </x:c>
      <x:c r="H17" s="28" t="str">
        <x:v>No</x:v>
      </x:c>
    </x:row>
    <x:row r="18">
      <x:c r="A18" s="28" t="str">
        <x:v>P07</x:v>
      </x:c>
      <x:c r="B18" s="28" t="str">
        <x:v>CaCl2 proxy inputs</x:v>
      </x:c>
      <x:c r="C18" s="28" t="str">
        <x:v>Inputs</x:v>
      </x:c>
      <x:c r="D18" s="28" t="str">
        <x:v>see P07 sheet</x:v>
      </x:c>
      <x:c r="E18" s="28" t="str">
        <x:v>Proxy manufacturing inputs</x:v>
      </x:c>
      <x:c r="F18" s="28" t="str">
        <x:v>OPTION B</x:v>
      </x:c>
      <x:c r="G18" s="28" t="str">
        <x:v>raw input amounts * prices</x:v>
      </x:c>
      <x:c r="H18" s="28" t="str">
        <x:v>YES if CaCl2 cost also attached in P04</x:v>
      </x:c>
    </x:row>
    <x:row r="19">
      <x:c r="A19" s="28" t="str">
        <x:v>P04</x:v>
      </x:c>
      <x:c r="B19" s="28" t="str">
        <x:v>CaCl2 proxy</x:v>
      </x:c>
      <x:c r="C19" s="28" t="str">
        <x:v>Input</x:v>
      </x:c>
      <x:c r="D19" s="28" t="str">
        <x:v>m_CaCl2_kg</x:v>
      </x:c>
      <x:c r="E19" s="28" t="str">
        <x:v>Purchased CaCl2 cost</x:v>
      </x:c>
      <x:c r="F19" s="28" t="str">
        <x:v>OPTION A</x:v>
      </x:c>
      <x:c r="G19" s="28" t="str">
        <x:v>m_CaCl2_kg * price_CaCl2_USD_kg</x:v>
      </x:c>
      <x:c r="H19" s="28" t="str">
        <x:v>YES if P07 raw inputs also costed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6" hidden="0" customWidth="1"/>
    <x:col min="3" max="3" width="20" hidden="0" customWidth="1"/>
  </x:cols>
  <x:sheetData>
    <x:row r="1" ht="28" customHeight="1">
      <x:c r="A1" s="50" t="str">
        <x:v>Excel LCC Calculator</x:v>
      </x:c>
      <x:c r="B1" s="52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Editable numeric calculator for USD per m3 treated water. This mirrors the Python bridge and openLCA exchange logic.</x:v>
      </x:c>
    </x:row>
    <x:row r="4">
      <x:c r="A4" s="24" t="str">
        <x:v>Input parameter</x:v>
      </x:c>
      <x:c r="B4" s="24" t="str">
        <x:v>Value</x:v>
      </x:c>
      <x:c r="C4" s="24" t="str">
        <x:v>Unit</x:v>
      </x:c>
      <x:c r="D4" s="26"/>
      <x:c r="E4" s="26"/>
    </x:row>
    <x:row r="5">
      <x:c r="A5" s="28" t="str">
        <x:v>V_water_m3</x:v>
      </x:c>
      <x:c r="B5" s="28" t="n">
        <x:v>1</x:v>
      </x:c>
      <x:c r="C5" s="28" t="str">
        <x:v>m3</x:v>
      </x:c>
      <x:c r="D5" s="26"/>
      <x:c r="E5" s="26"/>
    </x:row>
    <x:row r="6">
      <x:c r="A6" s="28" t="str">
        <x:v>V_water_L</x:v>
      </x:c>
      <x:c r="B6" s="28" t="n">
        <x:v>1000</x:v>
      </x:c>
      <x:c r="C6" s="28" t="str">
        <x:v>L</x:v>
      </x:c>
      <x:c r="D6" s="26"/>
      <x:c r="E6" s="26"/>
    </x:row>
    <x:row r="7">
      <x:c r="A7" s="28" t="str">
        <x:v>SLR_g_L</x:v>
      </x:c>
      <x:c r="B7" s="28" t="n">
        <x:v>0.25</x:v>
      </x:c>
      <x:c r="C7" s="28" t="str">
        <x:v>g/L</x:v>
      </x:c>
      <x:c r="D7" s="26"/>
      <x:c r="E7" s="26"/>
    </x:row>
    <x:row r="8">
      <x:c r="A8" s="28" t="str">
        <x:v>C0_mg_L</x:v>
      </x:c>
      <x:c r="B8" s="28" t="n">
        <x:v>1</x:v>
      </x:c>
      <x:c r="C8" s="28" t="str">
        <x:v>mg/L</x:v>
      </x:c>
      <x:c r="D8" s="26"/>
      <x:c r="E8" s="26"/>
    </x:row>
    <x:row r="9">
      <x:c r="A9" s="28" t="str">
        <x:v>RE_pred</x:v>
      </x:c>
      <x:c r="B9" s="28" t="n">
        <x:v>0.8</x:v>
      </x:c>
      <x:c r="C9" s="28" t="str">
        <x:v>fraction</x:v>
      </x:c>
      <x:c r="D9" s="26"/>
      <x:c r="E9" s="26"/>
    </x:row>
    <x:row r="10">
      <x:c r="A10" s="28" t="str">
        <x:v>biochar_yield</x:v>
      </x:c>
      <x:c r="B10" s="28" t="n">
        <x:v>0.3</x:v>
      </x:c>
      <x:c r="C10" s="28" t="str">
        <x:v>kg/kg</x:v>
      </x:c>
      <x:c r="D10" s="26"/>
      <x:c r="E10" s="26"/>
    </x:row>
    <x:row r="11">
      <x:c r="A11" s="28" t="str">
        <x:v>biomass_moisture_factor</x:v>
      </x:c>
      <x:c r="B11" s="28" t="n">
        <x:v>1.25</x:v>
      </x:c>
      <x:c r="C11" s="28" t="str">
        <x:v>kg wet/kg dry</x:v>
      </x:c>
      <x:c r="D11" s="26"/>
      <x:c r="E11" s="26"/>
    </x:row>
    <x:row r="12">
      <x:c r="A12" s="28" t="str">
        <x:v>biomass_transport_km</x:v>
      </x:c>
      <x:c r="B12" s="28" t="n">
        <x:v>50</x:v>
      </x:c>
      <x:c r="C12" s="28" t="str">
        <x:v>km</x:v>
      </x:c>
      <x:c r="D12" s="26"/>
      <x:c r="E12" s="26"/>
    </x:row>
    <x:row r="13">
      <x:c r="A13" s="28" t="str">
        <x:v>prep_elec_kWh_kgDry</x:v>
      </x:c>
      <x:c r="B13" s="28" t="n">
        <x:v>0.02</x:v>
      </x:c>
      <x:c r="C13" s="28" t="str">
        <x:v>kWh/kg dry</x:v>
      </x:c>
      <x:c r="D13" s="26"/>
      <x:c r="E13" s="26"/>
    </x:row>
    <x:row r="14">
      <x:c r="A14" s="28" t="str">
        <x:v>prep_heat_MJ_kgDry</x:v>
      </x:c>
      <x:c r="B14" s="28" t="n">
        <x:v>0.5</x:v>
      </x:c>
      <x:c r="C14" s="28" t="str">
        <x:v>MJ/kg dry</x:v>
      </x:c>
      <x:c r="D14" s="26"/>
      <x:c r="E14" s="26"/>
    </x:row>
    <x:row r="15">
      <x:c r="A15" s="28" t="str">
        <x:v>pyrolysis_elec_kWh_kgBC</x:v>
      </x:c>
      <x:c r="B15" s="28" t="n">
        <x:v>0.2</x:v>
      </x:c>
      <x:c r="C15" s="28" t="str">
        <x:v>kWh/kg BC</x:v>
      </x:c>
      <x:c r="D15" s="26"/>
      <x:c r="E15" s="26"/>
    </x:row>
    <x:row r="16">
      <x:c r="A16" s="28" t="str">
        <x:v>pyrolysis_heat_MJ_kgBC</x:v>
      </x:c>
      <x:c r="B16" s="28" t="n">
        <x:v>5</x:v>
      </x:c>
      <x:c r="C16" s="28" t="str">
        <x:v>MJ/kg BC</x:v>
      </x:c>
      <x:c r="D16" s="26"/>
      <x:c r="E16" s="26"/>
    </x:row>
    <x:row r="17">
      <x:c r="A17" s="28" t="str">
        <x:v>N2_kg_kgBC</x:v>
      </x:c>
      <x:c r="B17" s="28" t="n">
        <x:v>0</x:v>
      </x:c>
      <x:c r="C17" s="28" t="str">
        <x:v>kg/kg BC</x:v>
      </x:c>
      <x:c r="D17" s="26"/>
      <x:c r="E17" s="26"/>
    </x:row>
    <x:row r="18">
      <x:c r="A18" s="28" t="str">
        <x:v>wash_water_kg_kgBC</x:v>
      </x:c>
      <x:c r="B18" s="28" t="n">
        <x:v>5</x:v>
      </x:c>
      <x:c r="C18" s="28" t="str">
        <x:v>kg/kg BC</x:v>
      </x:c>
      <x:c r="D18" s="26"/>
      <x:c r="E18" s="26"/>
    </x:row>
    <x:row r="19">
      <x:c r="A19" s="28" t="str">
        <x:v>washing_elec_kWh_kgBC</x:v>
      </x:c>
      <x:c r="B19" s="28" t="n">
        <x:v>0.1</x:v>
      </x:c>
      <x:c r="C19" s="28" t="str">
        <x:v>kWh/kg BC</x:v>
      </x:c>
      <x:c r="D19" s="26"/>
      <x:c r="E19" s="26"/>
    </x:row>
    <x:row r="20">
      <x:c r="A20" s="28" t="str">
        <x:v>washing_heat_MJ_kgBC</x:v>
      </x:c>
      <x:c r="B20" s="28" t="n">
        <x:v>1</x:v>
      </x:c>
      <x:c r="C20" s="28" t="str">
        <x:v>MJ/kg BC</x:v>
      </x:c>
      <x:c r="D20" s="26"/>
      <x:c r="E20" s="26"/>
    </x:row>
    <x:row r="21">
      <x:c r="A21" s="28" t="str">
        <x:v>KOH_kg_kgBC</x:v>
      </x:c>
      <x:c r="B21" s="28" t="n">
        <x:v>0</x:v>
      </x:c>
      <x:c r="C21" s="28" t="str">
        <x:v>kg/kg BC</x:v>
      </x:c>
      <x:c r="D21" s="26"/>
      <x:c r="E21" s="26"/>
    </x:row>
    <x:row r="22">
      <x:c r="A22" s="28" t="str">
        <x:v>HCl_kg_kgBC</x:v>
      </x:c>
      <x:c r="B22" s="28" t="n">
        <x:v>0</x:v>
      </x:c>
      <x:c r="C22" s="28" t="str">
        <x:v>kg/kg BC</x:v>
      </x:c>
      <x:c r="D22" s="26"/>
      <x:c r="E22" s="26"/>
    </x:row>
    <x:row r="23">
      <x:c r="A23" s="28" t="str">
        <x:v>FeCl3_kg_kgBC</x:v>
      </x:c>
      <x:c r="B23" s="28" t="n">
        <x:v>0</x:v>
      </x:c>
      <x:c r="C23" s="28" t="str">
        <x:v>kg/kg BC</x:v>
      </x:c>
      <x:c r="D23" s="26"/>
      <x:c r="E23" s="26"/>
    </x:row>
    <x:row r="24">
      <x:c r="A24" s="28" t="str">
        <x:v>urea_kg_kgBC</x:v>
      </x:c>
      <x:c r="B24" s="28" t="n">
        <x:v>0</x:v>
      </x:c>
      <x:c r="C24" s="28" t="str">
        <x:v>kg/kg BC</x:v>
      </x:c>
      <x:c r="D24" s="26"/>
      <x:c r="E24" s="26"/>
    </x:row>
    <x:row r="25">
      <x:c r="A25" s="28" t="str">
        <x:v>adsorption_elec_kWh_m3_h</x:v>
      </x:c>
      <x:c r="B25" s="28" t="n">
        <x:v>0.0067</x:v>
      </x:c>
      <x:c r="C25" s="28" t="str">
        <x:v>kWh/m3/h</x:v>
      </x:c>
      <x:c r="D25" s="26"/>
      <x:c r="E25" s="26"/>
    </x:row>
    <x:row r="26">
      <x:c r="A26" s="28" t="str">
        <x:v>t_ads_min</x:v>
      </x:c>
      <x:c r="B26" s="28" t="n">
        <x:v>720</x:v>
      </x:c>
      <x:c r="C26" s="28" t="str">
        <x:v>min</x:v>
      </x:c>
      <x:c r="D26" s="26"/>
      <x:c r="E26" s="26"/>
    </x:row>
    <x:row r="27">
      <x:c r="A27" s="28" t="str">
        <x:v>CaCl2_mM</x:v>
      </x:c>
      <x:c r="B27" s="28" t="n">
        <x:v>0</x:v>
      </x:c>
      <x:c r="C27" s="28" t="str">
        <x:v>mM</x:v>
      </x:c>
      <x:c r="D27" s="26"/>
      <x:c r="E27" s="26"/>
    </x:row>
    <x:row r="28">
      <x:c r="A28" s="28" t="str">
        <x:v>NaCl_mM</x:v>
      </x:c>
      <x:c r="B28" s="28" t="n">
        <x:v>0</x:v>
      </x:c>
      <x:c r="C28" s="28" t="str">
        <x:v>mM</x:v>
      </x:c>
      <x:c r="D28" s="26"/>
      <x:c r="E28" s="26"/>
    </x:row>
    <x:row r="29">
      <x:c r="A29" s="28" t="str">
        <x:v>humic_mg_L</x:v>
      </x:c>
      <x:c r="B29" s="28" t="n">
        <x:v>0</x:v>
      </x:c>
      <x:c r="C29" s="28" t="str">
        <x:v>mg/L</x:v>
      </x:c>
      <x:c r="D29" s="26"/>
      <x:c r="E29" s="26"/>
    </x:row>
    <x:row r="30">
      <x:c r="A30" s="28" t="str">
        <x:v>filter_media_kg_m3</x:v>
      </x:c>
      <x:c r="B30" s="28" t="n">
        <x:v>0.01</x:v>
      </x:c>
      <x:c r="C30" s="28" t="str">
        <x:v>kg/m3</x:v>
      </x:c>
      <x:c r="D30" s="26"/>
      <x:c r="E30" s="26"/>
    </x:row>
    <x:row r="31">
      <x:c r="A31" s="28" t="str">
        <x:v>price_wet_biomass_USD_kg</x:v>
      </x:c>
      <x:c r="B31" s="28" t="n">
        <x:v>0.05</x:v>
      </x:c>
      <x:c r="C31" s="28" t="str">
        <x:v>USD/kg</x:v>
      </x:c>
      <x:c r="D31" s="26"/>
      <x:c r="E31" s="26"/>
    </x:row>
    <x:row r="32">
      <x:c r="A32" s="28" t="str">
        <x:v>price_electricity_USD_kWh</x:v>
      </x:c>
      <x:c r="B32" s="28" t="n">
        <x:v>0.12</x:v>
      </x:c>
      <x:c r="C32" s="28" t="str">
        <x:v>USD/kWh</x:v>
      </x:c>
      <x:c r="D32" s="26"/>
      <x:c r="E32" s="26"/>
    </x:row>
    <x:row r="33">
      <x:c r="A33" s="28" t="str">
        <x:v>price_heat_USD_MJ</x:v>
      </x:c>
      <x:c r="B33" s="28" t="n">
        <x:v>0.015</x:v>
      </x:c>
      <x:c r="C33" s="28" t="str">
        <x:v>USD/MJ</x:v>
      </x:c>
      <x:c r="D33" s="26"/>
      <x:c r="E33" s="26"/>
    </x:row>
    <x:row r="34">
      <x:c r="A34" s="28" t="str">
        <x:v>price_transport_USD_tkm</x:v>
      </x:c>
      <x:c r="B34" s="28" t="n">
        <x:v>0.1</x:v>
      </x:c>
      <x:c r="C34" s="28" t="str">
        <x:v>USD/tkm</x:v>
      </x:c>
      <x:c r="D34" s="26"/>
      <x:c r="E34" s="26"/>
    </x:row>
    <x:row r="35">
      <x:c r="A35" s="28" t="str">
        <x:v>price_N2_USD_kg</x:v>
      </x:c>
      <x:c r="B35" s="28" t="n">
        <x:v>0.25</x:v>
      </x:c>
      <x:c r="C35" s="28" t="str">
        <x:v>USD/kg</x:v>
      </x:c>
      <x:c r="D35" s="26"/>
      <x:c r="E35" s="26"/>
    </x:row>
    <x:row r="36">
      <x:c r="A36" s="28" t="str">
        <x:v>price_water_USD_kg</x:v>
      </x:c>
      <x:c r="B36" s="28" t="n">
        <x:v>0.001</x:v>
      </x:c>
      <x:c r="C36" s="28" t="str">
        <x:v>USD/kg</x:v>
      </x:c>
      <x:c r="D36" s="26"/>
      <x:c r="E36" s="26"/>
    </x:row>
    <x:row r="37">
      <x:c r="A37" s="28" t="str">
        <x:v>price_wastewater_USD_m3</x:v>
      </x:c>
      <x:c r="B37" s="28" t="n">
        <x:v>0.5</x:v>
      </x:c>
      <x:c r="C37" s="28" t="str">
        <x:v>USD/m3</x:v>
      </x:c>
      <x:c r="D37" s="26"/>
      <x:c r="E37" s="26"/>
    </x:row>
    <x:row r="38">
      <x:c r="A38" s="28" t="str">
        <x:v>price_KOH_USD_kg</x:v>
      </x:c>
      <x:c r="B38" s="28" t="n">
        <x:v>1.5</x:v>
      </x:c>
      <x:c r="C38" s="28" t="str">
        <x:v>USD/kg</x:v>
      </x:c>
      <x:c r="D38" s="26"/>
      <x:c r="E38" s="26"/>
    </x:row>
    <x:row r="39">
      <x:c r="A39" s="28" t="str">
        <x:v>price_HCl_USD_kg</x:v>
      </x:c>
      <x:c r="B39" s="28" t="n">
        <x:v>0.2</x:v>
      </x:c>
      <x:c r="C39" s="28" t="str">
        <x:v>USD/kg</x:v>
      </x:c>
      <x:c r="D39" s="26"/>
      <x:c r="E39" s="26"/>
    </x:row>
    <x:row r="40">
      <x:c r="A40" s="28" t="str">
        <x:v>price_FeCl3_USD_kg</x:v>
      </x:c>
      <x:c r="B40" s="28" t="n">
        <x:v>0.8</x:v>
      </x:c>
      <x:c r="C40" s="28" t="str">
        <x:v>USD/kg</x:v>
      </x:c>
      <x:c r="D40" s="26"/>
      <x:c r="E40" s="26"/>
    </x:row>
    <x:row r="41">
      <x:c r="A41" s="28" t="str">
        <x:v>price_urea_USD_kg</x:v>
      </x:c>
      <x:c r="B41" s="28" t="n">
        <x:v>0.4</x:v>
      </x:c>
      <x:c r="C41" s="28" t="str">
        <x:v>USD/kg</x:v>
      </x:c>
      <x:c r="D41" s="26"/>
      <x:c r="E41" s="26"/>
    </x:row>
    <x:row r="42">
      <x:c r="A42" s="28" t="str">
        <x:v>price_CaCl2_USD_kg</x:v>
      </x:c>
      <x:c r="B42" s="28" t="n">
        <x:v>0.35</x:v>
      </x:c>
      <x:c r="C42" s="28" t="str">
        <x:v>USD/kg</x:v>
      </x:c>
      <x:c r="D42" s="26"/>
      <x:c r="E42" s="26"/>
    </x:row>
    <x:row r="43">
      <x:c r="A43" s="28" t="str">
        <x:v>price_NaCl_USD_kg</x:v>
      </x:c>
      <x:c r="B43" s="28" t="n">
        <x:v>0.1</x:v>
      </x:c>
      <x:c r="C43" s="28" t="str">
        <x:v>USD/kg</x:v>
      </x:c>
      <x:c r="D43" s="26"/>
      <x:c r="E43" s="26"/>
    </x:row>
    <x:row r="44">
      <x:c r="A44" s="28" t="str">
        <x:v>price_humic_USD_kg</x:v>
      </x:c>
      <x:c r="B44" s="28" t="n">
        <x:v>5</x:v>
      </x:c>
      <x:c r="C44" s="28" t="str">
        <x:v>USD/kg</x:v>
      </x:c>
      <x:c r="D44" s="26"/>
      <x:c r="E44" s="26"/>
    </x:row>
    <x:row r="45">
      <x:c r="A45" s="28" t="str">
        <x:v>price_filter_media_USD_kg</x:v>
      </x:c>
      <x:c r="B45" s="28" t="n">
        <x:v>2</x:v>
      </x:c>
      <x:c r="C45" s="28" t="str">
        <x:v>USD/kg</x:v>
      </x:c>
      <x:c r="D45" s="26"/>
      <x:c r="E45" s="26"/>
    </x:row>
    <x:row r="46">
      <x:c r="A46" s="28" t="str">
        <x:v>price_incin_USD_kg</x:v>
      </x:c>
      <x:c r="B46" s="28" t="n">
        <x:v>2</x:v>
      </x:c>
      <x:c r="C46" s="28" t="str">
        <x:v>USD/kg</x:v>
      </x:c>
      <x:c r="D46" s="26"/>
      <x:c r="E46" s="26"/>
    </x:row>
    <x:row r="47">
      <x:c r="A47" s="28" t="str">
        <x:v>price_landfill_USD_kg</x:v>
      </x:c>
      <x:c r="B47" s="28" t="n">
        <x:v>0.25</x:v>
      </x:c>
      <x:c r="C47" s="28" t="str">
        <x:v>USD/kg</x:v>
      </x:c>
      <x:c r="D47" s="26"/>
      <x:c r="E47" s="26"/>
    </x:row>
    <x:row r="48">
      <x:c r="A48" s="26"/>
      <x:c r="B48" s="26"/>
      <x:c r="C48" s="26"/>
      <x:c r="D48" s="26"/>
      <x:c r="E48" s="26"/>
    </x:row>
    <x:row r="49">
      <x:c r="A49" s="26"/>
      <x:c r="B49" s="26"/>
      <x:c r="C49" s="26"/>
      <x:c r="D49" s="26"/>
      <x:c r="E49" s="26"/>
    </x:row>
    <x:row r="50">
      <x:c r="A50" s="24" t="str">
        <x:v>Calculated item</x:v>
      </x:c>
      <x:c r="B50" s="24" t="str">
        <x:v>Value</x:v>
      </x:c>
      <x:c r="C50" s="24" t="str">
        <x:v>Unit</x:v>
      </x:c>
      <x:c r="D50" s="24" t="str">
        <x:v>Excel formula</x:v>
      </x:c>
      <x:c r="E50" s="24" t="str">
        <x:v>Meaning</x:v>
      </x:c>
    </x:row>
    <x:row r="51">
      <x:c r="A51" s="26" t="str">
        <x:v>m_biochar_kg</x:v>
      </x:c>
      <x:c r="B51" s="26" t="n">
        <x:f>$B$7*$B$6/1000</x:f>
        <x:v>0.25</x:v>
      </x:c>
      <x:c r="C51" s="26" t="str">
        <x:v>kg/FU</x:v>
      </x:c>
      <x:c r="D51" s="26" t="str">
        <x:v>SLR_g_L * V_water_L / 1000</x:v>
      </x:c>
      <x:c r="E51" s="26" t="str">
        <x:v>P04 biochar input</x:v>
      </x:c>
    </x:row>
    <x:row r="52">
      <x:c r="A52" s="26" t="str">
        <x:v>m_PFAS_in_kg</x:v>
      </x:c>
      <x:c r="B52" s="26" t="n">
        <x:f>$B$8*$B$6*0.000001</x:f>
        <x:v>0.001</x:v>
      </x:c>
      <x:c r="C52" s="26" t="str">
        <x:v>kg/FU</x:v>
      </x:c>
      <x:c r="D52" s="26" t="str">
        <x:v>C0_mg_L * V_water_L * 0.000001</x:v>
      </x:c>
      <x:c r="E52" s="26" t="str">
        <x:v>PFAS entering</x:v>
      </x:c>
    </x:row>
    <x:row r="53">
      <x:c r="A53" s="26" t="str">
        <x:v>m_PFAS_removed_kg</x:v>
      </x:c>
      <x:c r="B53" s="26" t="n">
        <x:f>$B$8*$B$6*0.000001*$B$9</x:f>
        <x:v>0.0008</x:v>
      </x:c>
      <x:c r="C53" s="26" t="str">
        <x:v>kg/FU</x:v>
      </x:c>
      <x:c r="D53" s="26" t="str">
        <x:v>m_PFAS_in * RE_pred</x:v>
      </x:c>
      <x:c r="E53" s="26" t="str">
        <x:v>Captured PFAS</x:v>
      </x:c>
    </x:row>
    <x:row r="54">
      <x:c r="A54" s="26" t="str">
        <x:v>m_PFAS_residual_kg</x:v>
      </x:c>
      <x:c r="B54" s="26" t="n">
        <x:f>$B$8*$B$6*0.000001*(1-$B$9)</x:f>
        <x:v>0.00019999999999999996</x:v>
      </x:c>
      <x:c r="C54" s="26" t="str">
        <x:v>kg/FU</x:v>
      </x:c>
      <x:c r="D54" s="26" t="str">
        <x:v>m_PFAS_in * (1 - RE_pred)</x:v>
      </x:c>
      <x:c r="E54" s="26" t="str">
        <x:v>Residual PFAS to water</x:v>
      </x:c>
    </x:row>
    <x:row r="55">
      <x:c r="A55" s="26" t="str">
        <x:v>m_spent_biochar_kg</x:v>
      </x:c>
      <x:c r="B55" s="26" t="n">
        <x:f>B51+B53</x:f>
        <x:v>0.2508</x:v>
      </x:c>
      <x:c r="C55" s="26" t="str">
        <x:v>kg/FU</x:v>
      </x:c>
      <x:c r="D55" s="26" t="str">
        <x:v>m_biochar + m_PFAS_removed</x:v>
      </x:c>
      <x:c r="E55" s="26" t="str">
        <x:v>Sent to P05/P06</x:v>
      </x:c>
    </x:row>
    <x:row r="56">
      <x:c r="A56" s="26" t="str">
        <x:v>m_dry_biomass_kg</x:v>
      </x:c>
      <x:c r="B56" s="26" t="n">
        <x:f>B51/$B$10</x:f>
        <x:v>0.8333333333333334</x:v>
      </x:c>
      <x:c r="C56" s="26" t="str">
        <x:v>kg/FU</x:v>
      </x:c>
      <x:c r="D56" s="26" t="str">
        <x:v>m_biochar / biochar_yield</x:v>
      </x:c>
      <x:c r="E56" s="26" t="str">
        <x:v>P02 scaled biomass demand</x:v>
      </x:c>
    </x:row>
    <x:row r="57">
      <x:c r="A57" s="26" t="str">
        <x:v>m_CaCl2_kg</x:v>
      </x:c>
      <x:c r="B57" s="26" t="n">
        <x:f>$B$27*0.001*$B$6*0.11098</x:f>
        <x:v>0</x:v>
      </x:c>
      <x:c r="C57" s="26" t="str">
        <x:v>kg/FU</x:v>
      </x:c>
      <x:c r="D57" s="26" t="str">
        <x:v>CaCl2_mM * 0.001 * V_water_L * MW</x:v>
      </x:c>
      <x:c r="E57" s="26" t="str">
        <x:v>P04 input / P07 supplier</x:v>
      </x:c>
    </x:row>
    <x:row r="58">
      <x:c r="A58" s="26" t="str">
        <x:v>m_NaCl_kg</x:v>
      </x:c>
      <x:c r="B58" s="26" t="n">
        <x:f>$B$28*0.001*$B$6*0.05844</x:f>
        <x:v>0</x:v>
      </x:c>
      <x:c r="C58" s="26" t="str">
        <x:v>kg/FU</x:v>
      </x:c>
      <x:c r="D58" s="26" t="str">
        <x:v>NaCl_mM * 0.001 * V_water_L * MW</x:v>
      </x:c>
      <x:c r="E58" s="26" t="str">
        <x:v>P04 input</x:v>
      </x:c>
    </x:row>
    <x:row r="59">
      <x:c r="A59" s="26" t="str">
        <x:v>m_humic_kg</x:v>
      </x:c>
      <x:c r="B59" s="26" t="n">
        <x:f>$B$29*$B$6*0.000001</x:f>
        <x:v>0</x:v>
      </x:c>
      <x:c r="C59" s="26" t="str">
        <x:v>kg/FU</x:v>
      </x:c>
      <x:c r="D59" s="26" t="str">
        <x:v>humic_mg_L * V_water_L * 0.000001</x:v>
      </x:c>
      <x:c r="E59" s="26" t="str">
        <x:v>P04 input</x:v>
      </x:c>
    </x:row>
    <x:row r="60">
      <x:c r="A60" s="26" t="str">
        <x:v>adsorption_elec_kWh</x:v>
      </x:c>
      <x:c r="B60" s="26" t="n">
        <x:f>$B$25*$B$5*$B$26/60</x:f>
        <x:v>0.0804</x:v>
      </x:c>
      <x:c r="C60" s="26" t="str">
        <x:v>kWh/FU</x:v>
      </x:c>
      <x:c r="D60" s="26" t="str">
        <x:v>adsorption_elec_kWh_m3_h * V * t / 60</x:v>
      </x:c>
      <x:c r="E60" s="26" t="str">
        <x:v>P04 electricity</x:v>
      </x:c>
    </x:row>
    <x:row r="61">
      <x:c r="A61" s="26" t="str">
        <x:v>m_filter_media_kg</x:v>
      </x:c>
      <x:c r="B61" s="26" t="n">
        <x:f>$B$30*$B$5</x:f>
        <x:v>0.01</x:v>
      </x:c>
      <x:c r="C61" s="26" t="str">
        <x:v>kg/FU</x:v>
      </x:c>
      <x:c r="D61" s="26" t="str">
        <x:v>filter_media_kg_m3 * V_water_m3</x:v>
      </x:c>
      <x:c r="E61" s="26" t="str">
        <x:v>P04 input</x:v>
      </x:c>
    </x:row>
    <x:row r="62">
      <x:c r="A62" s="26"/>
      <x:c r="B62" s="26"/>
      <x:c r="C62" s="26"/>
      <x:c r="D62" s="26"/>
      <x:c r="E62" s="26"/>
    </x:row>
    <x:row r="63">
      <x:c r="A63" s="26"/>
      <x:c r="B63" s="26"/>
      <x:c r="C63" s="26"/>
      <x:c r="D63" s="26"/>
      <x:c r="E63" s="26"/>
    </x:row>
    <x:row r="64">
      <x:c r="A64" s="26"/>
      <x:c r="B64" s="26"/>
      <x:c r="C64" s="26"/>
      <x:c r="D64" s="26"/>
      <x:c r="E64" s="26"/>
    </x:row>
    <x:row r="65">
      <x:c r="A65" s="24" t="str">
        <x:v>Cost item</x:v>
      </x:c>
      <x:c r="B65" s="24" t="str">
        <x:v>Value</x:v>
      </x:c>
      <x:c r="C65" s="24" t="str">
        <x:v>Unit</x:v>
      </x:c>
      <x:c r="D65" s="24" t="str">
        <x:v>Excel formula</x:v>
      </x:c>
      <x:c r="E65" s="24" t="str">
        <x:v>Meaning</x:v>
      </x:c>
    </x:row>
    <x:row r="66">
      <x:c r="A66" s="26" t="str">
        <x:v>cost_p01_USD</x:v>
      </x:c>
      <x:c r="B66" s="26" t="n">
        <x:f>$B$56*($B$11*$B$31+$B$13*$B$32+$B$14*$B$33+$B$11*$B$12/1000*$B$34)</x:f>
        <x:v>0.06554166666666666</x:v>
      </x:c>
      <x:c r="C66" s="26" t="str">
        <x:v>USD/FU</x:v>
      </x:c>
      <x:c r="D66" s="26" t="str">
        <x:v>P01 scaled cost</x:v>
      </x:c>
      <x:c r="E66" s="26" t="str">
        <x:v>Wet biomass + prep utilities + transport</x:v>
      </x:c>
    </x:row>
    <x:row r="67">
      <x:c r="A67" s="26" t="str">
        <x:v>cost_p02_USD</x:v>
      </x:c>
      <x:c r="B67" s="26" t="n">
        <x:f>$B$51*($B$15*$B$32+$B$16*$B$33+$B$17*$B$35)</x:f>
        <x:v>0.02475</x:v>
      </x:c>
      <x:c r="C67" s="26" t="str">
        <x:v>USD/FU</x:v>
      </x:c>
      <x:c r="D67" s="26" t="str">
        <x:v>P02 scaled cost</x:v>
      </x:c>
      <x:c r="E67" s="26" t="str">
        <x:v>Pyrolysis utilities and nitrogen</x:v>
      </x:c>
    </x:row>
    <x:row r="68">
      <x:c r="A68" s="26" t="str">
        <x:v>cost_p03_USD</x:v>
      </x:c>
      <x:c r="B68" s="26" t="n">
        <x:f>$B$51*($B$18*$B$36+$B$19*$B$32+$B$20*$B$33+$B$21*$B$38+$B$22*$B$39+$B$23*$B$40+$B$24*$B$41+$B$18/1000*$B$37)</x:f>
        <x:v>0.008625</x:v>
      </x:c>
      <x:c r="C68" s="26" t="str">
        <x:v>USD/FU</x:v>
      </x:c>
      <x:c r="D68" s="26" t="str">
        <x:v>P03 scaled cost</x:v>
      </x:c>
      <x:c r="E68" s="26" t="str">
        <x:v>Washing/drying/modification</x:v>
      </x:c>
    </x:row>
    <x:row r="69">
      <x:c r="A69" s="26" t="str">
        <x:v>cost_p04_USD</x:v>
      </x:c>
      <x:c r="B69" s="26" t="n">
        <x:f>$B$60*$B$32+$B$57*$B$42+$B$58*$B$43+$B$59*$B$44+$B$61*$B$45</x:f>
        <x:v>0.029648</x:v>
      </x:c>
      <x:c r="C69" s="26" t="str">
        <x:v>USD/FU</x:v>
      </x:c>
      <x:c r="D69" s="26" t="str">
        <x:v>P04 direct cost</x:v>
      </x:c>
      <x:c r="E69" s="26" t="str">
        <x:v>Adsorption utilities and consumables</x:v>
      </x:c>
    </x:row>
    <x:row r="70">
      <x:c r="A70" s="26" t="str">
        <x:v>cost_p05_USD</x:v>
      </x:c>
      <x:c r="B70" s="26" t="n">
        <x:f>$B$55*$B$46</x:f>
        <x:v>0.5016</x:v>
      </x:c>
      <x:c r="C70" s="26" t="str">
        <x:v>USD/FU</x:v>
      </x:c>
      <x:c r="D70" s="26" t="str">
        <x:v>P05 cost</x:v>
      </x:c>
      <x:c r="E70" s="26" t="str">
        <x:v>Incineration</x:v>
      </x:c>
    </x:row>
    <x:row r="71">
      <x:c r="A71" s="26" t="str">
        <x:v>cost_p06_USD</x:v>
      </x:c>
      <x:c r="B71" s="26" t="n">
        <x:f>$B$55*$B$47</x:f>
        <x:v>0.0627</x:v>
      </x:c>
      <x:c r="C71" s="26" t="str">
        <x:v>USD/FU</x:v>
      </x:c>
      <x:c r="D71" s="26" t="str">
        <x:v>P06 cost</x:v>
      </x:c>
      <x:c r="E71" s="26" t="str">
        <x:v>Landfill</x:v>
      </x:c>
    </x:row>
    <x:row r="72">
      <x:c r="A72" s="26" t="str">
        <x:v>LCC_total_incin_USD_m3</x:v>
      </x:c>
      <x:c r="B72" s="26" t="n">
        <x:f>B66+B67+B68+B69+B70</x:f>
        <x:v>0.6301646666666667</x:v>
      </x:c>
      <x:c r="C72" s="26" t="str">
        <x:v>USD/m3</x:v>
      </x:c>
      <x:c r="D72" s="26" t="str">
        <x:v>sum P01-P04+P05</x:v>
      </x:c>
      <x:c r="E72" s="26" t="str">
        <x:v>Cost objective for incineration product system</x:v>
      </x:c>
    </x:row>
    <x:row r="73">
      <x:c r="A73" s="26" t="str">
        <x:v>LCC_total_landfill_USD_m3</x:v>
      </x:c>
      <x:c r="B73" s="26" t="n">
        <x:f>B66+B67+B68+B69+B71</x:f>
        <x:v>0.19126466666666667</x:v>
      </x:c>
      <x:c r="C73" s="26" t="str">
        <x:v>USD/m3</x:v>
      </x:c>
      <x:c r="D73" s="26" t="str">
        <x:v>sum P01-P04+P06</x:v>
      </x:c>
      <x:c r="E73" s="26" t="str">
        <x:v>Cost objective for landfill product system</x:v>
      </x:c>
    </x:row>
    <x:row r="74">
      <x:c r="A74" s="26" t="str">
        <x:v>LCC_USD_per_kg_PFAS_removed_incin</x:v>
      </x:c>
      <x:c r="B74" s="26" t="n">
        <x:f>IF($B$53&gt;0,B72/$B$53,"")</x:f>
        <x:v>787.7058333333333</x:v>
      </x:c>
      <x:c r="C74" s="26" t="str">
        <x:v>USD/kg PFAS</x:v>
      </x:c>
      <x:c r="D74" s="26" t="str">
        <x:v>LCC / removed PFAS</x:v>
      </x:c>
      <x:c r="E74" s="26" t="str">
        <x:v>Optional KPI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22" hidden="0" customWidth="1"/>
    <x:col min="3" max="3" width="25" hidden="0" customWidth="1"/>
    <x:col min="4" max="4" width="65" hidden="0" customWidth="1"/>
    <x:col min="5" max="5" width="16" hidden="0" customWidth="1"/>
    <x:col min="6" max="6" width="25" hidden="0" customWidth="1"/>
    <x:col min="7" max="7" width="30" hidden="0" customWidth="1"/>
    <x:col min="8" max="8" width="55" hidden="0" customWidth="1"/>
  </x:cols>
  <x:sheetData>
    <x:row r="1" ht="28" customHeight="1">
      <x:c r="A1" s="50" t="str">
        <x:v>Environmental Burden Index (EBI) from ReCiPe Midpoint (H)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openLCA gives midpoint impacts. Paste normalization factors from the same ReCiPe method package used in openLCA.</x:v>
      </x:c>
    </x:row>
    <x:row r="4">
      <x:c r="A4" s="24" t="str">
        <x:v>Impact category</x:v>
      </x:c>
      <x:c r="B4" s="24" t="str">
        <x:v>openLCA result I_j</x:v>
      </x:c>
      <x:c r="C4" s="24" t="str">
        <x:v>Normalization N_j</x:v>
      </x:c>
      <x:c r="D4" s="24" t="str">
        <x:v>Note</x:v>
      </x:c>
      <x:c r="E4" s="24" t="str">
        <x:v>Weight w_j</x:v>
      </x:c>
      <x:c r="F4" s="24" t="str">
        <x:v>EBI element</x:v>
      </x:c>
      <x:c r="G4" s="24" t="str">
        <x:v>Formula</x:v>
      </x:c>
      <x:c r="H4" s="24" t="str">
        <x:v>Meaning</x:v>
      </x:c>
    </x:row>
    <x:row r="5">
      <x:c r="A5" s="28" t="str">
        <x:v>Climate change</x:v>
      </x:c>
      <x:c r="B5" s="28" t="str"/>
      <x:c r="C5" s="28" t="str"/>
      <x:c r="D5" s="28" t="str">
        <x:v>Paste ReCiPe Midpoint H normalization factor here</x:v>
      </x:c>
      <x:c r="E5" s="28" t="str">
        <x:v>1</x:v>
      </x:c>
      <x:c r="F5" s="28" t="str">
        <x:v>Normalized category</x:v>
      </x:c>
      <x:c r="G5" s="28" t="str">
        <x:v>I_j / N_j</x:v>
      </x:c>
      <x:c r="H5" s="28" t="str">
        <x:v>Calculated in Python/Excel</x:v>
      </x:c>
    </x:row>
    <x:row r="6">
      <x:c r="A6" s="28" t="str">
        <x:v>Ozone depletion</x:v>
      </x:c>
      <x:c r="B6" s="28" t="str"/>
      <x:c r="C6" s="28" t="str"/>
      <x:c r="D6" s="28" t="str">
        <x:v>optional</x:v>
      </x:c>
      <x:c r="E6" s="28" t="str">
        <x:v>1</x:v>
      </x:c>
      <x:c r="F6" s="28" t="str">
        <x:v>Weighted category</x:v>
      </x:c>
      <x:c r="G6" s="28" t="str">
        <x:v>w_j * I_j / N_j</x:v>
      </x:c>
      <x:c r="H6" s="28" t="str">
        <x:v>Set w_j=1 for equal weights or custom weights</x:v>
      </x:c>
    </x:row>
    <x:row r="7">
      <x:c r="A7" s="28" t="str">
        <x:v>Terrestrial acidification</x:v>
      </x:c>
      <x:c r="B7" s="28" t="str"/>
      <x:c r="C7" s="28" t="str"/>
      <x:c r="D7" s="28" t="str">
        <x:v>optional</x:v>
      </x:c>
      <x:c r="E7" s="28" t="str">
        <x:v>1</x:v>
      </x:c>
      <x:c r="F7" s="28" t="str">
        <x:v>EBI</x:v>
      </x:c>
      <x:c r="G7" s="28" t="str">
        <x:v>SUM(w_j * I_j / N_j)</x:v>
      </x:c>
      <x:c r="H7" s="28" t="str">
        <x:v>Objective to minimize</x:v>
      </x:c>
    </x:row>
    <x:row r="8">
      <x:c r="A8" s="28" t="str">
        <x:v>Freshwater eutrophication</x:v>
      </x:c>
      <x:c r="B8" s="28" t="str"/>
      <x:c r="C8" s="28" t="str"/>
      <x:c r="D8" s="28" t="str">
        <x:v>optional</x:v>
      </x:c>
      <x:c r="E8" s="28" t="str">
        <x:v>1</x:v>
      </x:c>
    </x:row>
    <x:row r="9">
      <x:c r="A9" s="28" t="str">
        <x:v>Marine eutrophication</x:v>
      </x:c>
      <x:c r="B9" s="28" t="str"/>
      <x:c r="C9" s="28" t="str"/>
      <x:c r="D9" s="28" t="str">
        <x:v>optional</x:v>
      </x:c>
      <x:c r="E9" s="28" t="str">
        <x:v>1</x:v>
      </x:c>
    </x:row>
    <x:row r="10">
      <x:c r="A10" s="28" t="str">
        <x:v>Human toxicity</x:v>
      </x:c>
      <x:c r="B10" s="28" t="str"/>
      <x:c r="C10" s="28" t="str"/>
      <x:c r="D10" s="28" t="str">
        <x:v>optional; ReCiPe naming differs by version</x:v>
      </x:c>
      <x:c r="E10" s="28" t="str">
        <x:v>1</x:v>
      </x:c>
    </x:row>
    <x:row r="11">
      <x:c r="A11" s="28" t="str">
        <x:v>Freshwater ecotoxicity</x:v>
      </x:c>
      <x:c r="B11" s="28" t="str"/>
      <x:c r="C11" s="28" t="str"/>
      <x:c r="D11" s="28" t="str">
        <x:v>optional; PFAS residual may not be characterized</x:v>
      </x:c>
      <x:c r="E11" s="28" t="str">
        <x:v>1</x:v>
      </x:c>
    </x:row>
    <x:row r="12">
      <x:c r="A12" s="28" t="str">
        <x:v>Fossil resource scarcity / fossil depletion</x:v>
      </x:c>
      <x:c r="B12" s="28" t="str"/>
      <x:c r="C12" s="28" t="str"/>
      <x:c r="D12" s="28" t="str">
        <x:v>optional</x:v>
      </x:c>
      <x:c r="E12" s="28" t="str">
        <x:v>1</x:v>
      </x:c>
    </x:row>
    <x:row r="13">
      <x:c r="A13" s="28" t="str">
        <x:v>Water consumption</x:v>
      </x:c>
      <x:c r="B13" s="28" t="str"/>
      <x:c r="C13" s="28" t="str"/>
      <x:c r="D13" s="28" t="str">
        <x:v>optional</x:v>
      </x:c>
      <x:c r="E13" s="28" t="str">
        <x:v>1</x:v>
      </x:c>
    </x:row>
    <x:row r="16">
      <x:c r="A16" s="46" t="str">
        <x:v>Important: PFAS elementary flows may not have ReCiPe characterization factors. Report PFAS removed/residual as separate mass-balance KPIs.</x:v>
      </x:c>
      <x:c r="B16" t="str">
        <x:v>Important: PFAS elementary flows may not have ReCiPe characterization factors. Report PFAS removed/residual as separate mass-balance KPIs.</x:v>
      </x:c>
      <x:c r="C16" t="str">
        <x:v>Important: PFAS elementary flows may not have ReCiPe characterization factors. Report PFAS removed/residual as separate mass-balance KPIs.</x:v>
      </x:c>
      <x:c r="D16" t="str">
        <x:v>Important: PFAS elementary flows may not have ReCiPe characterization factors. Report PFAS removed/residual as separate mass-balance KPIs.</x:v>
      </x:c>
      <x:c r="E16" t="str">
        <x:v>Important: PFAS elementary flows may not have ReCiPe characterization factors. Report PFAS removed/residual as separate mass-balance KPIs.</x:v>
      </x:c>
      <x:c r="F16" t="str">
        <x:v>Important: PFAS elementary flows may not have ReCiPe characterization factors. Report PFAS removed/residual as separate mass-balance KPIs.</x:v>
      </x:c>
      <x:c r="G16" t="str">
        <x:v>Important: PFAS elementary flows may not have ReCiPe characterization factors. Report PFAS removed/residual as separate mass-balance KPIs.</x:v>
      </x:c>
      <x:c r="H16" t="str">
        <x:v>Important: PFAS elementary flows may not have ReCiPe characterization factors. Report PFAS removed/residual as separate mass-balance KPIs.</x:v>
      </x:c>
    </x:row>
  </x:sheetData>
  <x:mergeCells>
    <x:mergeCell ref="A1:G1"/>
    <x:mergeCell ref="A2:G2"/>
    <x:mergeCell ref="A16:H16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0" hidden="0" customWidth="1"/>
    <x:col min="3" max="3" width="45" hidden="0" customWidth="1"/>
  </x:cols>
  <x:sheetData>
    <x:row r="1" ht="28" customHeight="1">
      <x:c r="A1" s="50" t="str">
        <x:v>Python Bridge Builder I/O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What the bridge sends to openLCA, what it reads back, and how it constructs Pareto objectives.</x:v>
      </x:c>
    </x:row>
    <x:row r="4">
      <x:c r="A4" s="24" t="str">
        <x:v>Component</x:v>
      </x:c>
      <x:c r="B4" s="24" t="str">
        <x:v>Data</x:v>
      </x:c>
      <x:c r="C4" s="24" t="str">
        <x:v>Purpose</x:v>
      </x:c>
    </x:row>
    <x:row r="5">
      <x:c r="A5" s="28" t="str">
        <x:v>Input to PKL</x:v>
      </x:c>
      <x:c r="B5" s="28" t="str">
        <x:v>PFAS_name + biochar descriptors + adsorption conditions</x:v>
      </x:c>
      <x:c r="C5" s="28" t="str">
        <x:v>Predict RE_pred</x:v>
      </x:c>
    </x:row>
    <x:row r="6">
      <x:c r="A6" s="28" t="str">
        <x:v>Input to openLCA</x:v>
      </x:c>
      <x:c r="B6" s="28" t="str">
        <x:v>Global parameters such as SLR_g_L, C0_mg_L, RE_pred, biochar_yield, energy and chemical variables</x:v>
      </x:c>
      <x:c r="C6" s="28" t="str">
        <x:v>LCI amounts and ReCiPe impacts</x:v>
      </x:c>
    </x:row>
    <x:row r="7">
      <x:c r="A7" s="28" t="str">
        <x:v>Input to LCC</x:v>
      </x:c>
      <x:c r="B7" s="28" t="str">
        <x:v>Same global parameters + unit prices</x:v>
      </x:c>
      <x:c r="C7" s="28" t="str">
        <x:v>LCC_total_USD_m3</x:v>
      </x:c>
    </x:row>
    <x:row r="8">
      <x:c r="A8" s="28" t="str">
        <x:v>Output from openLCA</x:v>
      </x:c>
      <x:c r="B8" s="28" t="str">
        <x:v>ReCiPe Midpoint H impact vector</x:v>
      </x:c>
      <x:c r="C8" s="28" t="str">
        <x:v>EBI calculation</x:v>
      </x:c>
    </x:row>
    <x:row r="9">
      <x:c r="A9" s="28" t="str">
        <x:v>Output from LCC</x:v>
      </x:c>
      <x:c r="B9" s="28" t="str">
        <x:v>Cost breakdown P01-P07 and total cost</x:v>
      </x:c>
      <x:c r="C9" s="28" t="str">
        <x:v>Pareto objective</x:v>
      </x:c>
    </x:row>
    <x:row r="10">
      <x:c r="A10" s="28" t="str">
        <x:v>Optimizer objective vector</x:v>
      </x:c>
      <x:c r="B10" s="28" t="str">
        <x:v>[-RE_pred, EBI, LCC_total_USD_m3]</x:v>
      </x:c>
      <x:c r="C10" s="28" t="str">
        <x:v>All minimized</x:v>
      </x:c>
    </x:row>
    <x:row r="13">
      <x:c r="A13" s="24" t="str">
        <x:v>Type</x:v>
      </x:c>
      <x:c r="B13" s="24" t="str">
        <x:v>Line</x:v>
      </x:c>
    </x:row>
    <x:row r="14">
      <x:c r="A14" s="28" t="str">
        <x:v>Pseudo-code</x:v>
      </x:c>
      <x:c r="B14" s="28" t="str">
        <x:v>candidate = optimizer.ask()</x:v>
      </x:c>
    </x:row>
    <x:row r="15">
      <x:c r="A15" s="28" t="str">
        <x:v>Pseudo-code</x:v>
      </x:c>
      <x:c r="B15" s="28" t="str">
        <x:v>RE_pred = pkl_model.predict(candidate_features)</x:v>
      </x:c>
    </x:row>
    <x:row r="16">
      <x:c r="A16" s="28" t="str">
        <x:v>Pseudo-code</x:v>
      </x:c>
      <x:c r="B16" s="28" t="str">
        <x:v>params = candidate | {'RE_pred': RE_pred}</x:v>
      </x:c>
    </x:row>
    <x:row r="17">
      <x:c r="A17" s="28" t="str">
        <x:v>Pseudo-code</x:v>
      </x:c>
      <x:c r="B17" s="28" t="str">
        <x:v>update_openlca_global_parameters(params)</x:v>
      </x:c>
    </x:row>
    <x:row r="18">
      <x:c r="A18" s="28" t="str">
        <x:v>Pseudo-code</x:v>
      </x:c>
      <x:c r="B18" s="28" t="str">
        <x:v>impact_vector = calculate_product_system(selected_ps, 'ReCiPe Midpoint H')</x:v>
      </x:c>
    </x:row>
    <x:row r="19">
      <x:c r="A19" s="28" t="str">
        <x:v>Pseudo-code</x:v>
      </x:c>
      <x:c r="B19" s="28" t="str">
        <x:v>EBI = sum(weights[k] * impact_vector[k] / normalization[k] for k in selected_categories)</x:v>
      </x:c>
    </x:row>
    <x:row r="20">
      <x:c r="A20" s="28" t="str">
        <x:v>Pseudo-code</x:v>
      </x:c>
      <x:c r="B20" s="28" t="str">
        <x:v>LCC = calculate_lcc_from_same_params(params, eol_mode)</x:v>
      </x:c>
    </x:row>
    <x:row r="21">
      <x:c r="A21" s="28" t="str">
        <x:v>Pseudo-code</x:v>
      </x:c>
      <x:c r="B21" s="28" t="str">
        <x:v>optimizer.tell(candidate, objectives=[-RE_pred, EBI, LCC])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0" hidden="0" customWidth="1"/>
    <x:col min="3" max="3" width="20" hidden="0" customWidth="1"/>
    <x:col min="4" max="4" width="60" hidden="0" customWidth="1"/>
  </x:cols>
  <x:sheetData>
    <x:row r="1" ht="28" customHeight="1">
      <x:c r="A1" s="50" t="str">
        <x:v>Implementation Checklist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42" customHeight="1">
      <x:c r="A2" s="12" t="str">
        <x:v>Use this sheet to avoid linking mistakes and cost double counting.</x:v>
      </x:c>
    </x:row>
    <x:row r="4">
      <x:c r="A4" s="24" t="str">
        <x:v>Step</x:v>
      </x:c>
      <x:c r="B4" s="24" t="str">
        <x:v>Task</x:v>
      </x:c>
      <x:c r="C4" s="24" t="str">
        <x:v>Status</x:v>
      </x:c>
      <x:c r="D4" s="24" t="str">
        <x:v>Notes</x:v>
      </x:c>
    </x:row>
    <x:row r="5">
      <x:c r="A5" s="28" t="str">
        <x:v>1</x:v>
      </x:c>
      <x:c r="B5" s="28" t="str">
        <x:v>Create all global parameters listed in Global_Params</x:v>
      </x:c>
      <x:c r="C5" s="28" t="str">
        <x:v>Done/Not done</x:v>
      </x:c>
      <x:c r="D5" s="28" t="str"/>
    </x:row>
    <x:row r="6">
      <x:c r="A6" s="28" t="str">
        <x:v>2</x:v>
      </x:c>
      <x:c r="B6" s="28" t="str">
        <x:v>Create P04 dependent parameters with safe decimal formulas</x:v>
      </x:c>
      <x:c r="C6" s="28" t="str">
        <x:v>Done/Not done</x:v>
      </x:c>
      <x:c r="D6" s="28" t="str"/>
    </x:row>
    <x:row r="7">
      <x:c r="A7" s="28" t="str">
        <x:v>3</x:v>
      </x:c>
      <x:c r="B7" s="28" t="str">
        <x:v>Create custom flows in Flows sheet</x:v>
      </x:c>
      <x:c r="C7" s="28" t="str">
        <x:v>Done/Not done</x:v>
      </x:c>
      <x:c r="D7" s="28" t="str"/>
    </x:row>
    <x:row r="8">
      <x:c r="A8" s="28" t="str">
        <x:v>4</x:v>
      </x:c>
      <x:c r="B8" s="28" t="str">
        <x:v>Create P01-P07 processes and add exchanges exactly</x:v>
      </x:c>
      <x:c r="C8" s="28" t="str">
        <x:v>Done/Not done</x:v>
      </x:c>
      <x:c r="D8" s="28" t="str"/>
    </x:row>
    <x:row r="9">
      <x:c r="A9" s="28" t="str">
        <x:v>5</x:v>
      </x:c>
      <x:c r="B9" s="28" t="str">
        <x:v>Assign providers: P03-&gt;P04, P02-&gt;P03, P01-&gt;P02, P07-&gt;P04</x:v>
      </x:c>
      <x:c r="C9" s="28" t="str">
        <x:v>Done/Not done</x:v>
      </x:c>
      <x:c r="D9" s="28" t="str"/>
    </x:row>
    <x:row r="10">
      <x:c r="A10" s="28" t="str">
        <x:v>6</x:v>
      </x:c>
      <x:c r="B10" s="28" t="str">
        <x:v>Create PS_Biochar_PFAS_Incineration from P04</x:v>
      </x:c>
      <x:c r="C10" s="28" t="str">
        <x:v>Done/Not done</x:v>
      </x:c>
      <x:c r="D10" s="28" t="str"/>
    </x:row>
    <x:row r="11">
      <x:c r="A11" s="28" t="str">
        <x:v>7</x:v>
      </x:c>
      <x:c r="B11" s="28" t="str">
        <x:v>Create PS_Biochar_PFAS_Landfill from P04 if sensitivity needed</x:v>
      </x:c>
      <x:c r="C11" s="28" t="str">
        <x:v>Done/Not done</x:v>
      </x:c>
      <x:c r="D11" s="28" t="str"/>
    </x:row>
    <x:row r="12">
      <x:c r="A12" s="28" t="str">
        <x:v>8</x:v>
      </x:c>
      <x:c r="B12" s="28" t="str">
        <x:v>Confirm only one end-of-life provider is active per product system</x:v>
      </x:c>
      <x:c r="C12" s="28" t="str">
        <x:v>Done/Not done</x:v>
      </x:c>
      <x:c r="D12" s="28" t="str"/>
    </x:row>
    <x:row r="13">
      <x:c r="A13" s="28" t="str">
        <x:v>9</x:v>
      </x:c>
      <x:c r="B13" s="28" t="str">
        <x:v>Run baseline ReCiPe Midpoint H calculation</x:v>
      </x:c>
      <x:c r="C13" s="28" t="str">
        <x:v>Done/Not done</x:v>
      </x:c>
      <x:c r="D13" s="28" t="str"/>
    </x:row>
    <x:row r="14">
      <x:c r="A14" s="28" t="str">
        <x:v>10</x:v>
      </x:c>
      <x:c r="B14" s="28" t="str">
        <x:v>Export impact vector or read via IPC</x:v>
      </x:c>
      <x:c r="C14" s="28" t="str">
        <x:v>Done/Not done</x:v>
      </x:c>
      <x:c r="D14" s="28" t="str"/>
    </x:row>
    <x:row r="15">
      <x:c r="A15" s="28" t="str">
        <x:v>11</x:v>
      </x:c>
      <x:c r="B15" s="28" t="str">
        <x:v>Paste/define ReCiPe normalization factors for EBI</x:v>
      </x:c>
      <x:c r="C15" s="28" t="str">
        <x:v>Done/Not done</x:v>
      </x:c>
      <x:c r="D15" s="28" t="str"/>
    </x:row>
    <x:row r="16">
      <x:c r="A16" s="28" t="str">
        <x:v>12</x:v>
      </x:c>
      <x:c r="B16" s="28" t="str">
        <x:v>Calculate LCC externally or with native openLCA costs, but not both inconsistently</x:v>
      </x:c>
      <x:c r="C16" s="28" t="str">
        <x:v>Done/Not done</x:v>
      </x:c>
      <x:c r="D16" s="28" t="str"/>
    </x:row>
    <x:row r="17">
      <x:c r="A17" s="28" t="str">
        <x:v>13</x:v>
      </x:c>
      <x:c r="B17" s="28" t="str">
        <x:v>Validate one manual scenario against Excel calculator</x:v>
      </x:c>
      <x:c r="C17" s="28" t="str">
        <x:v>Done/Not done</x:v>
      </x:c>
      <x:c r="D17" s="28" t="str"/>
    </x:row>
    <x:row r="18">
      <x:c r="A18" s="28" t="str">
        <x:v>14</x:v>
      </x:c>
      <x:c r="B18" s="28" t="str">
        <x:v>Run Pareto optimization loop</x:v>
      </x:c>
      <x:c r="C18" s="28" t="str">
        <x:v>Done/Not done</x:v>
      </x:c>
      <x:c r="D18" s="28" t="str"/>
    </x:row>
  </x:sheetData>
  <x:mergeCells>
    <x:mergeCell ref="A1:E1"/>
    <x:mergeCell ref="A2:E2"/>
  </x:mergeCells>
  <x:pageMargins left="0.7" right="0.7" top="0.75" bottom="0.75" header="0.3" footer="0.3"/>
</x:worksheet>
</file>